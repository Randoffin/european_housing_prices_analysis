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customXml/itemProps1.xml" ContentType="application/vnd.openxmlformats-officedocument.customXmlProperti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PivotChartFilter="1" defaultThemeVersion="124226"/>
  <bookViews>
    <workbookView xWindow="120" yWindow="30" windowWidth="10515" windowHeight="4950"/>
  </bookViews>
  <sheets>
    <sheet name="Sheet1" sheetId="1" r:id="rId1"/>
    <sheet name="Sheet4" sheetId="4" r:id="rId2"/>
    <sheet name="Chart_Data" sheetId="2" r:id="rId3"/>
    <sheet name="Sheet3" sheetId="3" r:id="rId4"/>
  </sheets>
  <calcPr calcId="125725"/>
  <pivotCaches>
    <pivotCache cacheId="7" r:id="rId5"/>
  </pivotCaches>
</workbook>
</file>

<file path=xl/calcChain.xml><?xml version="1.0" encoding="utf-8"?>
<calcChain xmlns="http://schemas.openxmlformats.org/spreadsheetml/2006/main">
  <c r="S33" i="1"/>
  <c r="Q33"/>
  <c r="K33"/>
  <c r="J33"/>
  <c r="I33"/>
  <c r="H33"/>
  <c r="G33"/>
  <c r="F33"/>
  <c r="E33"/>
  <c r="D33"/>
  <c r="C33"/>
  <c r="B33"/>
  <c r="T33"/>
  <c r="R33"/>
  <c r="P33"/>
  <c r="O33"/>
  <c r="N33"/>
  <c r="M33"/>
  <c r="L33"/>
  <c r="A33"/>
</calcChain>
</file>

<file path=xl/sharedStrings.xml><?xml version="1.0" encoding="utf-8"?>
<sst xmlns="http://schemas.openxmlformats.org/spreadsheetml/2006/main" count="230" uniqueCount="88">
  <si>
    <t>Row Labels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</si>
  <si>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</si>
  <si>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</si>
  <si>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</si>
  <si>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</si>
  <si>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</si>
  <si>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</si>
  <si>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</si>
  <si>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</si>
  <si>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</si>
  <si>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</si>
  <si>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</si>
  <si>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</si>
  <si>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Grand Total</t>
  </si>
  <si>
    <t>price_index</t>
  </si>
  <si>
    <t>Median (2022-Q4)</t>
  </si>
  <si>
    <t>Median (2025-Q3)</t>
  </si>
  <si>
    <t>yearly_change_pct</t>
  </si>
  <si>
    <t>Median (2023-Q1)</t>
  </si>
  <si>
    <t>Median (2023-Q2)</t>
  </si>
  <si>
    <t>Median (2023-Q3)</t>
  </si>
  <si>
    <t>Median (2023-Q4)</t>
  </si>
  <si>
    <t>Median (2024-Q1)</t>
  </si>
  <si>
    <t>Median (2024-Q2)</t>
  </si>
  <si>
    <t>Median (2024-Q3)</t>
  </si>
  <si>
    <t>Median (2024-Q4)</t>
  </si>
  <si>
    <t>Median (2025-Q1)</t>
  </si>
  <si>
    <t>Median (2025-Q2)</t>
  </si>
  <si>
    <t>Quarter</t>
  </si>
  <si>
    <t>Median Price Index</t>
  </si>
  <si>
    <t>country</t>
  </si>
  <si>
    <t>Hungary</t>
  </si>
  <si>
    <t>Portugal</t>
  </si>
  <si>
    <t>Bulgaria</t>
  </si>
  <si>
    <t>Croatia</t>
  </si>
  <si>
    <t>Slovakia</t>
  </si>
  <si>
    <t>Spain</t>
  </si>
  <si>
    <t>Czechia</t>
  </si>
  <si>
    <t>Lithuania</t>
  </si>
  <si>
    <t>Latvia</t>
  </si>
  <si>
    <t>Netherlands</t>
  </si>
  <si>
    <t>Austria</t>
  </si>
  <si>
    <t>Belgium</t>
  </si>
  <si>
    <t>Cyprus</t>
  </si>
  <si>
    <t>Denmark</t>
  </si>
  <si>
    <t>Estonia</t>
  </si>
  <si>
    <t>Euro area â€“ 20 countries (2023-2025)</t>
  </si>
  <si>
    <t>Euro area â€“ 21 countries (from 2026)</t>
  </si>
  <si>
    <t>European Union (EU6-1958, EU9-1973, EU10-1981, EU12-1986, EU15-1995, EU25-2004, EU27-2007, EU28-2013, EU27-2020)</t>
  </si>
  <si>
    <t>European Union - 27 countries (from 2020)</t>
  </si>
  <si>
    <t>Finland</t>
  </si>
  <si>
    <t>France</t>
  </si>
  <si>
    <t>Country</t>
  </si>
  <si>
    <t>Ireland</t>
  </si>
  <si>
    <t>Romania</t>
  </si>
  <si>
    <t>Malta</t>
  </si>
  <si>
    <t>Switzerland</t>
  </si>
  <si>
    <t>Norway</t>
  </si>
  <si>
    <t>Group</t>
  </si>
  <si>
    <t>EU</t>
  </si>
  <si>
    <t>Non-EU</t>
  </si>
  <si>
    <t>Average Year-on-Year Growth</t>
  </si>
  <si>
    <t>EU Average (Mean) (2025-Q3)</t>
  </si>
  <si>
    <t>EU Median (2025-Q3)</t>
  </si>
  <si>
    <t>Non-EU group Average (Mean) (2025-Q3)</t>
  </si>
  <si>
    <t>Non-EU Median (2025-Q3)</t>
  </si>
  <si>
    <t>Eurozone Median (2025-Q3)</t>
  </si>
  <si>
    <t>Non-Eurozone Median (2025-Q3)</t>
  </si>
  <si>
    <t>growth_category</t>
  </si>
  <si>
    <t>Strong Growth</t>
  </si>
  <si>
    <t>Moderate Growth</t>
  </si>
  <si>
    <t>Decline</t>
  </si>
  <si>
    <t>Poland</t>
  </si>
  <si>
    <t>Italy</t>
  </si>
  <si>
    <t>Iceland</t>
  </si>
  <si>
    <t>Germany</t>
  </si>
  <si>
    <t>Slovenia</t>
  </si>
  <si>
    <t>Luxembourg</t>
  </si>
  <si>
    <t>Sweden</t>
  </si>
  <si>
    <t>Count of country</t>
  </si>
  <si>
    <t>EU vs Non-EU - Average Year-on-Year Growth</t>
  </si>
  <si>
    <t>European Housing Prices Analysis Dashboard</t>
  </si>
  <si>
    <t>price_change_since_2015_pct</t>
  </si>
  <si>
    <t>Eurozone Average (Mean) (2025-Q3)</t>
  </si>
  <si>
    <t>Non-Eurozone Average (Mean) (2025-Q3)</t>
  </si>
  <si>
    <t>Eurozone vs Non-Eurozone - Average Year-on-Year Growth, 2025-Q3</t>
  </si>
  <si>
    <t>Eurozone</t>
  </si>
  <si>
    <t>Non-Eurozone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</si>
</sst>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4" borderId="1" xfId="0" applyFill="1" applyBorder="1"/>
    <xf numFmtId="0" fontId="0" fillId="2" borderId="0" xfId="0" applyFill="1"/>
    <xf numFmtId="0" fontId="0" fillId="5" borderId="0" xfId="0" applyFill="1"/>
    <xf numFmtId="0" fontId="0" fillId="5" borderId="4" xfId="0" applyFill="1" applyBorder="1" applyAlignment="1">
      <alignment horizontal="left"/>
    </xf>
    <xf numFmtId="0" fontId="0" fillId="5" borderId="4" xfId="0" applyNumberFormat="1" applyFill="1" applyBorder="1"/>
    <xf numFmtId="0" fontId="0" fillId="5" borderId="6" xfId="0" applyFill="1" applyBorder="1"/>
    <xf numFmtId="0" fontId="0" fillId="5" borderId="5" xfId="0" applyFill="1" applyBorder="1" applyAlignment="1">
      <alignment horizontal="left"/>
    </xf>
    <xf numFmtId="0" fontId="0" fillId="5" borderId="5" xfId="0" applyNumberFormat="1" applyFill="1" applyBorder="1"/>
    <xf numFmtId="0" fontId="0" fillId="5" borderId="7" xfId="0" applyFill="1" applyBorder="1"/>
    <xf numFmtId="0" fontId="0" fillId="5" borderId="0" xfId="0" applyFill="1" applyBorder="1" applyAlignment="1">
      <alignment horizontal="left"/>
    </xf>
    <xf numFmtId="0" fontId="0" fillId="5" borderId="0" xfId="0" applyNumberFormat="1" applyFill="1" applyBorder="1"/>
    <xf numFmtId="0" fontId="0" fillId="5" borderId="0" xfId="0" applyFill="1" applyBorder="1"/>
    <xf numFmtId="0" fontId="0" fillId="6" borderId="1" xfId="0" applyFill="1" applyBorder="1"/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0" fontId="1" fillId="6" borderId="1" xfId="0" applyFont="1" applyFill="1" applyBorder="1"/>
    <xf numFmtId="0" fontId="1" fillId="3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8" xfId="0" applyFont="1" applyFill="1" applyBorder="1"/>
    <xf numFmtId="0" fontId="0" fillId="6" borderId="0" xfId="0" applyFill="1"/>
    <xf numFmtId="0" fontId="0" fillId="7" borderId="0" xfId="0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1" fillId="8" borderId="2" xfId="0" applyFont="1" applyFill="1" applyBorder="1" applyAlignment="1">
      <alignment horizontal="center" vertical="top" wrapText="1"/>
    </xf>
    <xf numFmtId="0" fontId="1" fillId="8" borderId="8" xfId="0" applyFont="1" applyFill="1" applyBorder="1" applyAlignment="1">
      <alignment horizontal="center" vertical="top" wrapText="1"/>
    </xf>
    <xf numFmtId="0" fontId="0" fillId="8" borderId="0" xfId="0" applyFill="1"/>
    <xf numFmtId="0" fontId="0" fillId="8" borderId="1" xfId="0" applyFill="1" applyBorder="1"/>
    <xf numFmtId="10" fontId="0" fillId="8" borderId="1" xfId="0" applyNumberFormat="1" applyFill="1" applyBorder="1" applyAlignment="1">
      <alignment horizontal="center"/>
    </xf>
    <xf numFmtId="0" fontId="1" fillId="8" borderId="1" xfId="0" applyFont="1" applyFill="1" applyBorder="1"/>
    <xf numFmtId="0" fontId="1" fillId="4" borderId="1" xfId="0" applyFont="1" applyFill="1" applyBorder="1"/>
    <xf numFmtId="0" fontId="0" fillId="9" borderId="1" xfId="0" applyFill="1" applyBorder="1"/>
    <xf numFmtId="0" fontId="0" fillId="9" borderId="0" xfId="0" applyFill="1"/>
    <xf numFmtId="0" fontId="0" fillId="9" borderId="1" xfId="0" applyFill="1" applyBorder="1" applyAlignment="1">
      <alignment horizontal="center"/>
    </xf>
    <xf numFmtId="0" fontId="1" fillId="9" borderId="1" xfId="0" applyFont="1" applyFill="1" applyBorder="1"/>
  </cellXfs>
  <cellStyles count="1">
    <cellStyle name="Normal" xfId="0" builtinId="0"/>
  </cellStyles>
  <dxfs count="21">
    <dxf>
      <font>
        <b/>
      </font>
    </dxf>
    <dxf>
      <font>
        <b/>
      </font>
    </dxf>
    <dxf>
      <fill>
        <patternFill>
          <bgColor theme="6" tint="0.79998168889431442"/>
        </patternFill>
      </fill>
    </dxf>
    <dxf>
      <fill>
        <patternFill patternType="solid">
          <bgColor theme="3" tint="0.59999389629810485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vertical/>
        <horizontal/>
      </border>
    </dxf>
  </dxfs>
  <tableStyles count="0" defaultTableStyle="TableStyleMedium9" defaultPivotStyle="PivotStyleLight16"/>
  <colors>
    <mruColors>
      <color rgb="FF9900CC"/>
      <color rgb="FF669900"/>
      <color rgb="FF99FF33"/>
      <color rgb="FF660066"/>
      <color rgb="FF990099"/>
      <color rgb="FF00FF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Country Housing Price Index - Median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Chart_Data!$B$2</c:f>
              <c:strCache>
                <c:ptCount val="1"/>
                <c:pt idx="0">
                  <c:v>Median Price Index</c:v>
                </c:pt>
              </c:strCache>
            </c:strRef>
          </c:tx>
          <c:marker>
            <c:spPr>
              <a:solidFill>
                <a:srgbClr val="990099"/>
              </a:solidFill>
            </c:spPr>
          </c:marker>
          <c:cat>
            <c:strRef>
              <c:f>Chart_Data!$A$3:$A$14</c:f>
              <c:strCache>
                <c:ptCount val="12"/>
                <c:pt idx="0">
                  <c:v>2022-Q4</c:v>
                </c:pt>
                <c:pt idx="1">
                  <c:v>2023-Q1</c:v>
                </c:pt>
                <c:pt idx="2">
                  <c:v>2023-Q2</c:v>
                </c:pt>
                <c:pt idx="3">
                  <c:v>2023-Q3</c:v>
                </c:pt>
                <c:pt idx="4">
                  <c:v>2023-Q4</c:v>
                </c:pt>
                <c:pt idx="5">
                  <c:v>2024-Q1</c:v>
                </c:pt>
                <c:pt idx="6">
                  <c:v>2024-Q2</c:v>
                </c:pt>
                <c:pt idx="7">
                  <c:v>2024-Q3</c:v>
                </c:pt>
                <c:pt idx="8">
                  <c:v>2024-Q4</c:v>
                </c:pt>
                <c:pt idx="9">
                  <c:v>2025-Q1</c:v>
                </c:pt>
                <c:pt idx="10">
                  <c:v>2025-Q2</c:v>
                </c:pt>
                <c:pt idx="11">
                  <c:v>2025-Q3</c:v>
                </c:pt>
              </c:strCache>
            </c:strRef>
          </c:cat>
          <c:val>
            <c:numRef>
              <c:f>Chart_Data!$B$3:$B$14</c:f>
              <c:numCache>
                <c:formatCode>General</c:formatCode>
                <c:ptCount val="12"/>
                <c:pt idx="0">
                  <c:v>169.64</c:v>
                </c:pt>
                <c:pt idx="1">
                  <c:v>169.52</c:v>
                </c:pt>
                <c:pt idx="2">
                  <c:v>171.75</c:v>
                </c:pt>
                <c:pt idx="3">
                  <c:v>168.79</c:v>
                </c:pt>
                <c:pt idx="4">
                  <c:v>178.69</c:v>
                </c:pt>
                <c:pt idx="5">
                  <c:v>173.51</c:v>
                </c:pt>
                <c:pt idx="6">
                  <c:v>178.7</c:v>
                </c:pt>
                <c:pt idx="7">
                  <c:v>183.88</c:v>
                </c:pt>
                <c:pt idx="8">
                  <c:v>189.97</c:v>
                </c:pt>
                <c:pt idx="9">
                  <c:v>181.92</c:v>
                </c:pt>
                <c:pt idx="10">
                  <c:v>186.62</c:v>
                </c:pt>
                <c:pt idx="11">
                  <c:v>191.76</c:v>
                </c:pt>
              </c:numCache>
            </c:numRef>
          </c:val>
        </c:ser>
        <c:marker val="1"/>
        <c:axId val="92424064"/>
        <c:axId val="92431104"/>
      </c:lineChart>
      <c:catAx>
        <c:axId val="92424064"/>
        <c:scaling>
          <c:orientation val="minMax"/>
        </c:scaling>
        <c:axPos val="b"/>
        <c:tickLblPos val="nextTo"/>
        <c:crossAx val="92431104"/>
        <c:crosses val="autoZero"/>
        <c:auto val="1"/>
        <c:lblAlgn val="ctr"/>
        <c:lblOffset val="100"/>
      </c:catAx>
      <c:valAx>
        <c:axId val="92431104"/>
        <c:scaling>
          <c:orientation val="minMax"/>
        </c:scaling>
        <c:axPos val="l"/>
        <c:majorGridlines/>
        <c:numFmt formatCode="General" sourceLinked="1"/>
        <c:tickLblPos val="nextTo"/>
        <c:crossAx val="9242406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rgbClr val="4F81BD"/>
          </a:solidFill>
        </a:ln>
      </c:spPr>
    </c:plotArea>
    <c:legend>
      <c:legendPos val="r"/>
      <c:layout/>
    </c:legend>
    <c:plotVisOnly val="1"/>
  </c:chart>
  <c:spPr>
    <a:solidFill>
      <a:schemeClr val="accent5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countries by Yearly</a:t>
            </a:r>
            <a:r>
              <a:rPr lang="en-US" baseline="0"/>
              <a:t> Housing-Price Growth - 2025-Q3</a:t>
            </a:r>
            <a:endParaRPr lang="en-US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Chart_Data!$B$17</c:f>
              <c:strCache>
                <c:ptCount val="1"/>
                <c:pt idx="0">
                  <c:v>yearly_change_pct</c:v>
                </c:pt>
              </c:strCache>
            </c:strRef>
          </c:tx>
          <c:spPr>
            <a:solidFill>
              <a:srgbClr val="002060"/>
            </a:solidFill>
            <a:ln cmpd="dbl"/>
          </c:spPr>
          <c:cat>
            <c:strRef>
              <c:f>Chart_Data!$A$18:$A$27</c:f>
              <c:strCache>
                <c:ptCount val="10"/>
                <c:pt idx="0">
                  <c:v>Hungary</c:v>
                </c:pt>
                <c:pt idx="1">
                  <c:v>Portugal</c:v>
                </c:pt>
                <c:pt idx="2">
                  <c:v>Bulgaria</c:v>
                </c:pt>
                <c:pt idx="3">
                  <c:v>Croatia</c:v>
                </c:pt>
                <c:pt idx="4">
                  <c:v>Slovakia</c:v>
                </c:pt>
                <c:pt idx="5">
                  <c:v>Spain</c:v>
                </c:pt>
                <c:pt idx="6">
                  <c:v>Czechia</c:v>
                </c:pt>
                <c:pt idx="7">
                  <c:v>Lithuania</c:v>
                </c:pt>
                <c:pt idx="8">
                  <c:v>Latvia</c:v>
                </c:pt>
                <c:pt idx="9">
                  <c:v>Netherlands</c:v>
                </c:pt>
              </c:strCache>
            </c:strRef>
          </c:cat>
          <c:val>
            <c:numRef>
              <c:f>Chart_Data!$B$18:$B$27</c:f>
              <c:numCache>
                <c:formatCode>General</c:formatCode>
                <c:ptCount val="10"/>
                <c:pt idx="0">
                  <c:v>21.1</c:v>
                </c:pt>
                <c:pt idx="1">
                  <c:v>17.7</c:v>
                </c:pt>
                <c:pt idx="2">
                  <c:v>15.4</c:v>
                </c:pt>
                <c:pt idx="3">
                  <c:v>13.8</c:v>
                </c:pt>
                <c:pt idx="4">
                  <c:v>13.4</c:v>
                </c:pt>
                <c:pt idx="5">
                  <c:v>12.8</c:v>
                </c:pt>
                <c:pt idx="6">
                  <c:v>10.8</c:v>
                </c:pt>
                <c:pt idx="7">
                  <c:v>10.8</c:v>
                </c:pt>
                <c:pt idx="8">
                  <c:v>8.4</c:v>
                </c:pt>
                <c:pt idx="9">
                  <c:v>7.7</c:v>
                </c:pt>
              </c:numCache>
            </c:numRef>
          </c:val>
        </c:ser>
        <c:axId val="93685248"/>
        <c:axId val="93708672"/>
      </c:barChart>
      <c:catAx>
        <c:axId val="93685248"/>
        <c:scaling>
          <c:orientation val="minMax"/>
        </c:scaling>
        <c:axPos val="l"/>
        <c:tickLblPos val="nextTo"/>
        <c:crossAx val="93708672"/>
        <c:crosses val="autoZero"/>
        <c:auto val="1"/>
        <c:lblAlgn val="ctr"/>
        <c:lblOffset val="100"/>
      </c:catAx>
      <c:valAx>
        <c:axId val="93708672"/>
        <c:scaling>
          <c:orientation val="minMax"/>
        </c:scaling>
        <c:axPos val="b"/>
        <c:majorGridlines/>
        <c:numFmt formatCode="General" sourceLinked="1"/>
        <c:tickLblPos val="nextTo"/>
        <c:crossAx val="93685248"/>
        <c:crosses val="autoZero"/>
        <c:crossBetween val="between"/>
      </c:valAx>
      <c:spPr>
        <a:solidFill>
          <a:schemeClr val="bg2">
            <a:lumMod val="75000"/>
          </a:schemeClr>
        </a:solidFill>
      </c:spPr>
    </c:plotArea>
    <c:legend>
      <c:legendPos val="r"/>
      <c:layout/>
    </c:legend>
    <c:plotVisOnly val="1"/>
  </c:chart>
  <c:spPr>
    <a:solidFill>
      <a:schemeClr val="bg2">
        <a:lumMod val="75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EU vs Non</a:t>
            </a:r>
            <a:r>
              <a:rPr lang="en-US" baseline="0"/>
              <a:t> EU</a:t>
            </a:r>
            <a:endParaRPr lang="en-US"/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Chart_Data!$L$3</c:f>
              <c:strCache>
                <c:ptCount val="1"/>
                <c:pt idx="0">
                  <c:v>Average Year-on-Year Growth</c:v>
                </c:pt>
              </c:strCache>
            </c:strRef>
          </c:tx>
          <c:spPr>
            <a:solidFill>
              <a:srgbClr val="9900CC"/>
            </a:solidFill>
          </c:spPr>
          <c:cat>
            <c:strRef>
              <c:f>Chart_Data!$K$4:$K$5</c:f>
              <c:strCache>
                <c:ptCount val="2"/>
                <c:pt idx="0">
                  <c:v>EU</c:v>
                </c:pt>
                <c:pt idx="1">
                  <c:v>Non-EU</c:v>
                </c:pt>
              </c:strCache>
            </c:strRef>
          </c:cat>
          <c:val>
            <c:numRef>
              <c:f>Chart_Data!$L$4:$L$5</c:f>
              <c:numCache>
                <c:formatCode>0.00%</c:formatCode>
                <c:ptCount val="2"/>
                <c:pt idx="0">
                  <c:v>7.0499999999999993E-2</c:v>
                </c:pt>
                <c:pt idx="1">
                  <c:v>4.5999999999999999E-2</c:v>
                </c:pt>
              </c:numCache>
            </c:numRef>
          </c:val>
        </c:ser>
        <c:overlap val="100"/>
        <c:axId val="244078464"/>
        <c:axId val="244080000"/>
      </c:barChart>
      <c:catAx>
        <c:axId val="244078464"/>
        <c:scaling>
          <c:orientation val="minMax"/>
        </c:scaling>
        <c:axPos val="b"/>
        <c:tickLblPos val="nextTo"/>
        <c:crossAx val="244080000"/>
        <c:crosses val="autoZero"/>
        <c:auto val="1"/>
        <c:lblAlgn val="ctr"/>
        <c:lblOffset val="100"/>
      </c:catAx>
      <c:valAx>
        <c:axId val="244080000"/>
        <c:scaling>
          <c:orientation val="minMax"/>
        </c:scaling>
        <c:axPos val="l"/>
        <c:majorGridlines/>
        <c:numFmt formatCode="0.00%" sourceLinked="1"/>
        <c:tickLblPos val="nextTo"/>
        <c:crossAx val="244078464"/>
        <c:crosses val="autoZero"/>
        <c:crossBetween val="between"/>
      </c:valAx>
      <c:spPr>
        <a:solidFill>
          <a:schemeClr val="accent2">
            <a:lumMod val="40000"/>
            <a:lumOff val="60000"/>
          </a:schemeClr>
        </a:solidFill>
      </c:spPr>
    </c:plotArea>
    <c:legend>
      <c:legendPos val="r"/>
      <c:layout/>
    </c:legend>
    <c:plotVisOnly val="1"/>
  </c:chart>
  <c:spPr>
    <a:solidFill>
      <a:schemeClr val="accent2">
        <a:lumMod val="40000"/>
        <a:lumOff val="60000"/>
      </a:schemeClr>
    </a:solidFill>
    <a:ln>
      <a:gradFill>
        <a:gsLst>
          <a:gs pos="0">
            <a:schemeClr val="accent1">
              <a:tint val="66000"/>
              <a:satMod val="160000"/>
            </a:schemeClr>
          </a:gs>
          <a:gs pos="50000">
            <a:schemeClr val="accent1">
              <a:tint val="44500"/>
              <a:satMod val="160000"/>
            </a:schemeClr>
          </a:gs>
          <a:gs pos="100000">
            <a:schemeClr val="accent1">
              <a:tint val="23500"/>
              <a:satMod val="160000"/>
            </a:schemeClr>
          </a:gs>
        </a:gsLst>
        <a:lin ang="5400000" scaled="0"/>
      </a:gradFill>
    </a:ln>
  </c:spPr>
  <c:printSettings>
    <c:headerFooter/>
    <c:pageMargins b="0.75000000000000011" l="0.70000000000000007" r="0.70000000000000007" t="0.75000000000000011" header="0.30000000000000004" footer="0.30000000000000004"/>
    <c:pageSetup orientation="landscape" copies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[Chart_Data_and_Calculations.xlsx]Chart_Data!PivotTable4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Latest</a:t>
            </a:r>
            <a:r>
              <a:rPr lang="en-US" baseline="0"/>
              <a:t> Year-on-Year Growth Categories</a:t>
            </a:r>
            <a:endParaRPr lang="en-US"/>
          </a:p>
        </c:rich>
      </c:tx>
      <c:layout>
        <c:manualLayout>
          <c:xMode val="edge"/>
          <c:yMode val="edge"/>
          <c:x val="7.7374890638670174E-2"/>
          <c:y val="5.5555555555555539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Chart_Data!$N$22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Chart_Data!$M$23:$M$26</c:f>
              <c:strCache>
                <c:ptCount val="3"/>
                <c:pt idx="0">
                  <c:v>Decline</c:v>
                </c:pt>
                <c:pt idx="1">
                  <c:v>Moderate Growth</c:v>
                </c:pt>
                <c:pt idx="2">
                  <c:v>Strong Growth</c:v>
                </c:pt>
              </c:strCache>
            </c:strRef>
          </c:cat>
          <c:val>
            <c:numRef>
              <c:f>Chart_Data!$N$23:$N$26</c:f>
              <c:numCache>
                <c:formatCode>General</c:formatCode>
                <c:ptCount val="3"/>
                <c:pt idx="0">
                  <c:v>1</c:v>
                </c:pt>
                <c:pt idx="1">
                  <c:v>11</c:v>
                </c:pt>
                <c:pt idx="2">
                  <c:v>17</c:v>
                </c:pt>
              </c:numCache>
            </c:numRef>
          </c:val>
        </c:ser>
        <c:axId val="246585216"/>
        <c:axId val="246586752"/>
      </c:barChart>
      <c:catAx>
        <c:axId val="246585216"/>
        <c:scaling>
          <c:orientation val="minMax"/>
        </c:scaling>
        <c:axPos val="b"/>
        <c:tickLblPos val="nextTo"/>
        <c:crossAx val="246586752"/>
        <c:crosses val="autoZero"/>
        <c:auto val="1"/>
        <c:lblAlgn val="ctr"/>
        <c:lblOffset val="100"/>
      </c:catAx>
      <c:valAx>
        <c:axId val="246586752"/>
        <c:scaling>
          <c:orientation val="minMax"/>
        </c:scaling>
        <c:axPos val="l"/>
        <c:majorGridlines/>
        <c:numFmt formatCode="General" sourceLinked="1"/>
        <c:tickLblPos val="nextTo"/>
        <c:crossAx val="246585216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</c:spPr>
    </c:plotArea>
    <c:legend>
      <c:legendPos val="r"/>
      <c:layout/>
    </c:legend>
    <c:plotVisOnly val="1"/>
  </c:chart>
  <c:spPr>
    <a:solidFill>
      <a:schemeClr val="accent3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Countries by Housing-Price Change</a:t>
            </a:r>
            <a:r>
              <a:rPr lang="en-US" baseline="0"/>
              <a:t> Since 2015 - 2025-Q3</a:t>
            </a:r>
            <a:endParaRPr lang="en-US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Chart_Data!$B$32</c:f>
              <c:strCache>
                <c:ptCount val="1"/>
                <c:pt idx="0">
                  <c:v>price_change_since_2015_pct</c:v>
                </c:pt>
              </c:strCache>
            </c:strRef>
          </c:tx>
          <c:spPr>
            <a:solidFill>
              <a:srgbClr val="660066"/>
            </a:solidFill>
          </c:spPr>
          <c:cat>
            <c:strRef>
              <c:f>Chart_Data!$A$33:$A$42</c:f>
              <c:strCache>
                <c:ptCount val="10"/>
                <c:pt idx="0">
                  <c:v>Hungary</c:v>
                </c:pt>
                <c:pt idx="1">
                  <c:v>Portugal</c:v>
                </c:pt>
                <c:pt idx="2">
                  <c:v>Iceland</c:v>
                </c:pt>
                <c:pt idx="3">
                  <c:v>Lithuania</c:v>
                </c:pt>
                <c:pt idx="4">
                  <c:v>Bulgaria</c:v>
                </c:pt>
                <c:pt idx="5">
                  <c:v>Czechia</c:v>
                </c:pt>
                <c:pt idx="6">
                  <c:v>Croatia</c:v>
                </c:pt>
                <c:pt idx="7">
                  <c:v>Estonia</c:v>
                </c:pt>
                <c:pt idx="8">
                  <c:v>Latvia</c:v>
                </c:pt>
                <c:pt idx="9">
                  <c:v>Netherlands</c:v>
                </c:pt>
              </c:strCache>
            </c:strRef>
          </c:cat>
          <c:val>
            <c:numRef>
              <c:f>Chart_Data!$B$33:$B$42</c:f>
              <c:numCache>
                <c:formatCode>General</c:formatCode>
                <c:ptCount val="10"/>
                <c:pt idx="0">
                  <c:v>275.19</c:v>
                </c:pt>
                <c:pt idx="1">
                  <c:v>169.35</c:v>
                </c:pt>
                <c:pt idx="2">
                  <c:v>165.13</c:v>
                </c:pt>
                <c:pt idx="3">
                  <c:v>162.01</c:v>
                </c:pt>
                <c:pt idx="4">
                  <c:v>156.01</c:v>
                </c:pt>
                <c:pt idx="5">
                  <c:v>149</c:v>
                </c:pt>
                <c:pt idx="6">
                  <c:v>130.07</c:v>
                </c:pt>
                <c:pt idx="7">
                  <c:v>121.98</c:v>
                </c:pt>
                <c:pt idx="8">
                  <c:v>120.67</c:v>
                </c:pt>
                <c:pt idx="9">
                  <c:v>117.61</c:v>
                </c:pt>
              </c:numCache>
            </c:numRef>
          </c:val>
        </c:ser>
        <c:axId val="247992704"/>
        <c:axId val="248016256"/>
      </c:barChart>
      <c:catAx>
        <c:axId val="247992704"/>
        <c:scaling>
          <c:orientation val="minMax"/>
        </c:scaling>
        <c:axPos val="l"/>
        <c:tickLblPos val="nextTo"/>
        <c:crossAx val="248016256"/>
        <c:crosses val="autoZero"/>
        <c:auto val="1"/>
        <c:lblAlgn val="ctr"/>
        <c:lblOffset val="100"/>
      </c:catAx>
      <c:valAx>
        <c:axId val="248016256"/>
        <c:scaling>
          <c:orientation val="minMax"/>
        </c:scaling>
        <c:axPos val="b"/>
        <c:majorGridlines/>
        <c:numFmt formatCode="General" sourceLinked="1"/>
        <c:tickLblPos val="nextTo"/>
        <c:crossAx val="247992704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</c:spPr>
    </c:plotArea>
    <c:legend>
      <c:legendPos val="r"/>
      <c:layout/>
    </c:legend>
    <c:plotVisOnly val="1"/>
  </c:chart>
  <c:spPr>
    <a:solidFill>
      <a:schemeClr val="tx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Chart_Data!$B$48</c:f>
              <c:strCache>
                <c:ptCount val="1"/>
                <c:pt idx="0">
                  <c:v>Average Year-on-Year Growth</c:v>
                </c:pt>
              </c:strCache>
            </c:strRef>
          </c:tx>
          <c:spPr>
            <a:solidFill>
              <a:srgbClr val="669900"/>
            </a:solidFill>
          </c:spPr>
          <c:cat>
            <c:strRef>
              <c:f>Chart_Data!$A$49:$A$50</c:f>
              <c:strCache>
                <c:ptCount val="2"/>
                <c:pt idx="0">
                  <c:v>Eurozone</c:v>
                </c:pt>
                <c:pt idx="1">
                  <c:v>Non-Eurozone</c:v>
                </c:pt>
              </c:strCache>
            </c:strRef>
          </c:cat>
          <c:val>
            <c:numRef>
              <c:f>Chart_Data!$B$49:$B$50</c:f>
              <c:numCache>
                <c:formatCode>0.00%</c:formatCode>
                <c:ptCount val="2"/>
                <c:pt idx="0">
                  <c:v>6.2300000000000001E-2</c:v>
                </c:pt>
                <c:pt idx="1">
                  <c:v>7.9000000000000001E-2</c:v>
                </c:pt>
              </c:numCache>
            </c:numRef>
          </c:val>
        </c:ser>
        <c:axId val="271641216"/>
        <c:axId val="271721600"/>
      </c:barChart>
      <c:catAx>
        <c:axId val="271641216"/>
        <c:scaling>
          <c:orientation val="minMax"/>
        </c:scaling>
        <c:axPos val="b"/>
        <c:tickLblPos val="nextTo"/>
        <c:crossAx val="271721600"/>
        <c:crosses val="autoZero"/>
        <c:auto val="1"/>
        <c:lblAlgn val="ctr"/>
        <c:lblOffset val="100"/>
      </c:catAx>
      <c:valAx>
        <c:axId val="271721600"/>
        <c:scaling>
          <c:orientation val="minMax"/>
        </c:scaling>
        <c:axPos val="l"/>
        <c:majorGridlines/>
        <c:numFmt formatCode="0.00%" sourceLinked="1"/>
        <c:tickLblPos val="nextTo"/>
        <c:crossAx val="271641216"/>
        <c:crosses val="autoZero"/>
        <c:crossBetween val="between"/>
      </c:valAx>
      <c:spPr>
        <a:solidFill>
          <a:schemeClr val="accent4">
            <a:lumMod val="40000"/>
            <a:lumOff val="60000"/>
          </a:schemeClr>
        </a:solidFill>
      </c:spPr>
    </c:plotArea>
    <c:legend>
      <c:legendPos val="r"/>
      <c:layout/>
    </c:legend>
    <c:plotVisOnly val="1"/>
  </c:chart>
  <c:spPr>
    <a:solidFill>
      <a:schemeClr val="accent4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9525</xdr:rowOff>
    </xdr:from>
    <xdr:to>
      <xdr:col>9</xdr:col>
      <xdr:colOff>314325</xdr:colOff>
      <xdr:row>15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16</xdr:row>
      <xdr:rowOff>9525</xdr:rowOff>
    </xdr:from>
    <xdr:to>
      <xdr:col>9</xdr:col>
      <xdr:colOff>314325</xdr:colOff>
      <xdr:row>30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304800</xdr:colOff>
      <xdr:row>5</xdr:row>
      <xdr:rowOff>9525</xdr:rowOff>
    </xdr:from>
    <xdr:to>
      <xdr:col>15</xdr:col>
      <xdr:colOff>47625</xdr:colOff>
      <xdr:row>19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809625</xdr:colOff>
      <xdr:row>25</xdr:row>
      <xdr:rowOff>9525</xdr:rowOff>
    </xdr:from>
    <xdr:to>
      <xdr:col>17</xdr:col>
      <xdr:colOff>142875</xdr:colOff>
      <xdr:row>39</xdr:row>
      <xdr:rowOff>85725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1790700</xdr:colOff>
      <xdr:row>31</xdr:row>
      <xdr:rowOff>0</xdr:rowOff>
    </xdr:from>
    <xdr:to>
      <xdr:col>9</xdr:col>
      <xdr:colOff>276225</xdr:colOff>
      <xdr:row>45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19050</xdr:colOff>
      <xdr:row>46</xdr:row>
      <xdr:rowOff>0</xdr:rowOff>
    </xdr:from>
    <xdr:to>
      <xdr:col>9</xdr:col>
      <xdr:colOff>323850</xdr:colOff>
      <xdr:row>59</xdr:row>
      <xdr:rowOff>66675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80.081866203705" createdVersion="3" refreshedVersion="3" minRefreshableVersion="3" recordCount="29">
  <cacheSource type="worksheet">
    <worksheetSource ref="K22:L51" sheet="Chart_Data"/>
  </cacheSource>
  <cacheFields count="2">
    <cacheField name="growth_category" numFmtId="0">
      <sharedItems count="3">
        <s v="Strong Growth"/>
        <s v="Moderate Growth"/>
        <s v="Decline"/>
      </sharedItems>
    </cacheField>
    <cacheField name="country" numFmtId="0">
      <sharedItems count="29">
        <s v="Hungary"/>
        <s v="Portugal"/>
        <s v="Bulgaria"/>
        <s v="Croatia"/>
        <s v="Slovakia"/>
        <s v="Spain"/>
        <s v="Czechia"/>
        <s v="Lithuania"/>
        <s v="Latvia"/>
        <s v="Netherlands"/>
        <s v="Ireland"/>
        <s v="Denmark"/>
        <s v="Romania"/>
        <s v="Malta"/>
        <s v="Estonia"/>
        <s v="Switzerland"/>
        <s v="Norway"/>
        <s v="Poland"/>
        <s v="Italy"/>
        <s v="Belgium"/>
        <s v="Iceland"/>
        <s v="Germany"/>
        <s v="Austria"/>
        <s v="Slovenia"/>
        <s v="Luxembourg"/>
        <s v="France"/>
        <s v="Sweden"/>
        <s v="Cyprus"/>
        <s v="Finlan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1"/>
    <x v="17"/>
  </r>
  <r>
    <x v="1"/>
    <x v="18"/>
  </r>
  <r>
    <x v="1"/>
    <x v="19"/>
  </r>
  <r>
    <x v="1"/>
    <x v="20"/>
  </r>
  <r>
    <x v="1"/>
    <x v="21"/>
  </r>
  <r>
    <x v="1"/>
    <x v="22"/>
  </r>
  <r>
    <x v="1"/>
    <x v="23"/>
  </r>
  <r>
    <x v="1"/>
    <x v="24"/>
  </r>
  <r>
    <x v="1"/>
    <x v="25"/>
  </r>
  <r>
    <x v="1"/>
    <x v="26"/>
  </r>
  <r>
    <x v="1"/>
    <x v="27"/>
  </r>
  <r>
    <x v="2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7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showAll="0">
      <items count="30">
        <item x="22"/>
        <item x="19"/>
        <item x="2"/>
        <item x="3"/>
        <item x="27"/>
        <item x="6"/>
        <item x="11"/>
        <item x="14"/>
        <item x="28"/>
        <item x="25"/>
        <item x="21"/>
        <item x="0"/>
        <item x="20"/>
        <item x="10"/>
        <item x="18"/>
        <item x="8"/>
        <item x="7"/>
        <item x="24"/>
        <item x="13"/>
        <item x="9"/>
        <item x="16"/>
        <item x="17"/>
        <item x="1"/>
        <item x="12"/>
        <item x="4"/>
        <item x="23"/>
        <item x="5"/>
        <item x="26"/>
        <item x="15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untry" fld="1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M22:N26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showAll="0">
      <items count="30">
        <item x="22"/>
        <item x="19"/>
        <item x="2"/>
        <item x="3"/>
        <item x="27"/>
        <item x="6"/>
        <item x="11"/>
        <item x="14"/>
        <item x="28"/>
        <item x="25"/>
        <item x="21"/>
        <item x="0"/>
        <item x="20"/>
        <item x="10"/>
        <item x="18"/>
        <item x="8"/>
        <item x="7"/>
        <item x="24"/>
        <item x="13"/>
        <item x="9"/>
        <item x="16"/>
        <item x="17"/>
        <item x="1"/>
        <item x="12"/>
        <item x="4"/>
        <item x="23"/>
        <item x="5"/>
        <item x="26"/>
        <item x="15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untry" fld="1" subtotal="count" baseField="0" baseItem="0"/>
  </dataFields>
  <formats count="21">
    <format dxfId="20">
      <pivotArea type="all" dataOnly="0" outline="0" fieldPosition="0"/>
    </format>
    <format dxfId="19">
      <pivotArea collapsedLevelsAreSubtotals="1" fieldPosition="0">
        <references count="1">
          <reference field="0" count="0"/>
        </references>
      </pivotArea>
    </format>
    <format dxfId="18">
      <pivotArea dataOnly="0" labelOnly="1" fieldPosition="0">
        <references count="1">
          <reference field="0" count="0"/>
        </references>
      </pivotArea>
    </format>
    <format dxfId="17">
      <pivotArea field="0" type="button" dataOnly="0" labelOnly="1" outline="0" axis="axisRow" fieldPosition="0"/>
    </format>
    <format dxfId="16">
      <pivotArea dataOnly="0" labelOnly="1" outline="0" axis="axisValues" fieldPosition="0"/>
    </format>
    <format dxfId="15">
      <pivotArea field="0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field="0" type="button" dataOnly="0" labelOnly="1" outline="0" axis="axisRow" fieldPosition="0"/>
    </format>
    <format dxfId="11">
      <pivotArea dataOnly="0" labelOnly="1" outline="0" axis="axisValues" fieldPosition="0"/>
    </format>
    <format dxfId="10">
      <pivotArea collapsedLevelsAreSubtotals="1" fieldPosition="0">
        <references count="1">
          <reference field="0" count="0"/>
        </references>
      </pivotArea>
    </format>
    <format dxfId="9">
      <pivotArea dataOnly="0" labelOnly="1" fieldPosition="0">
        <references count="1">
          <reference field="0" count="0"/>
        </references>
      </pivotArea>
    </format>
    <format dxfId="8">
      <pivotArea collapsedLevelsAreSubtotals="1" fieldPosition="0">
        <references count="1">
          <reference field="0" count="0"/>
        </references>
      </pivotArea>
    </format>
    <format dxfId="7">
      <pivotArea collapsedLevelsAreSubtotals="1" fieldPosition="0">
        <references count="1">
          <reference field="0" count="0"/>
        </references>
      </pivotArea>
    </format>
    <format dxfId="6">
      <pivotArea collapsedLevelsAreSubtotals="1" fieldPosition="0">
        <references count="1">
          <reference field="0" count="0"/>
        </references>
      </pivotArea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type="all" dataOnly="0" outline="0" fieldPosition="0"/>
    </format>
    <format dxfId="2">
      <pivotArea type="all" dataOnly="0" outline="0" fieldPosition="0"/>
    </format>
    <format dxfId="1">
      <pivotArea field="0" type="button" dataOnly="0" labelOnly="1" outline="0" axis="axisRow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tabSelected="1" topLeftCell="S33" workbookViewId="0">
      <selection activeCell="U40" sqref="U40"/>
    </sheetView>
  </sheetViews>
  <sheetFormatPr defaultRowHeight="15"/>
  <cols>
    <col min="1" max="11" width="18" customWidth="1"/>
    <col min="12" max="12" width="17.85546875" customWidth="1"/>
    <col min="13" max="13" width="20.5703125" customWidth="1"/>
    <col min="14" max="14" width="19.5703125" customWidth="1"/>
    <col min="15" max="15" width="27.85546875" customWidth="1"/>
    <col min="16" max="17" width="17.7109375" customWidth="1"/>
    <col min="18" max="19" width="17.5703125" customWidth="1"/>
    <col min="20" max="20" width="19.5703125" customWidth="1"/>
  </cols>
  <sheetData>
    <row r="1" spans="1:20" ht="45">
      <c r="A1" t="s">
        <v>15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16</v>
      </c>
      <c r="M1" s="5" t="s">
        <v>62</v>
      </c>
      <c r="N1" t="s">
        <v>63</v>
      </c>
      <c r="O1" s="5" t="s">
        <v>64</v>
      </c>
      <c r="P1" s="5" t="s">
        <v>65</v>
      </c>
      <c r="Q1" s="5" t="s">
        <v>83</v>
      </c>
      <c r="R1" s="5" t="s">
        <v>66</v>
      </c>
      <c r="S1" s="5" t="s">
        <v>84</v>
      </c>
      <c r="T1" s="5" t="s">
        <v>67</v>
      </c>
    </row>
    <row r="2" spans="1:20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</row>
    <row r="3" spans="1:20">
      <c r="A3">
        <v>166.32</v>
      </c>
      <c r="B3">
        <v>164.35</v>
      </c>
      <c r="C3">
        <v>164.68</v>
      </c>
      <c r="D3">
        <v>164.29</v>
      </c>
      <c r="E3">
        <v>161.4</v>
      </c>
      <c r="F3">
        <v>159.54</v>
      </c>
      <c r="G3">
        <v>164.34</v>
      </c>
      <c r="H3">
        <v>165.13</v>
      </c>
      <c r="I3">
        <v>163.22999999999999</v>
      </c>
      <c r="J3">
        <v>165.17</v>
      </c>
      <c r="K3">
        <v>166.95</v>
      </c>
      <c r="L3">
        <v>169.64</v>
      </c>
      <c r="M3">
        <v>21.1</v>
      </c>
      <c r="N3">
        <v>21.1</v>
      </c>
      <c r="O3">
        <v>5.2</v>
      </c>
      <c r="P3">
        <v>5.2</v>
      </c>
      <c r="Q3">
        <v>17.7</v>
      </c>
      <c r="R3">
        <v>17.7</v>
      </c>
      <c r="S3">
        <v>21.1</v>
      </c>
      <c r="T3">
        <v>21.1</v>
      </c>
    </row>
    <row r="4" spans="1:20">
      <c r="A4">
        <v>134.55000000000001</v>
      </c>
      <c r="B4">
        <v>135.04</v>
      </c>
      <c r="C4">
        <v>134.55000000000001</v>
      </c>
      <c r="D4">
        <v>136.31</v>
      </c>
      <c r="E4">
        <v>138.28</v>
      </c>
      <c r="F4">
        <v>139.36000000000001</v>
      </c>
      <c r="G4">
        <v>138.96</v>
      </c>
      <c r="H4">
        <v>141.16</v>
      </c>
      <c r="I4">
        <v>142.18</v>
      </c>
      <c r="J4">
        <v>143.08000000000001</v>
      </c>
      <c r="K4">
        <v>142.94</v>
      </c>
      <c r="L4">
        <v>146.38999999999999</v>
      </c>
      <c r="M4">
        <v>17.7</v>
      </c>
      <c r="N4">
        <v>17.7</v>
      </c>
      <c r="O4">
        <v>5.0999999999999996</v>
      </c>
      <c r="P4">
        <v>5.0999999999999996</v>
      </c>
      <c r="Q4">
        <v>13.8</v>
      </c>
      <c r="R4">
        <v>13.8</v>
      </c>
      <c r="S4">
        <v>15.4</v>
      </c>
      <c r="T4">
        <v>15.4</v>
      </c>
    </row>
    <row r="5" spans="1:20">
      <c r="A5">
        <v>175.14</v>
      </c>
      <c r="B5">
        <v>177.93</v>
      </c>
      <c r="C5">
        <v>185.5</v>
      </c>
      <c r="D5">
        <v>190.48</v>
      </c>
      <c r="E5">
        <v>192.78</v>
      </c>
      <c r="F5">
        <v>206.42</v>
      </c>
      <c r="G5">
        <v>213.53</v>
      </c>
      <c r="H5">
        <v>221.91</v>
      </c>
      <c r="I5">
        <v>228</v>
      </c>
      <c r="J5">
        <v>237.55</v>
      </c>
      <c r="K5">
        <v>246.65</v>
      </c>
      <c r="L5">
        <v>256.01</v>
      </c>
      <c r="M5">
        <v>15.4</v>
      </c>
      <c r="N5">
        <v>15.4</v>
      </c>
      <c r="O5">
        <v>3.5</v>
      </c>
      <c r="P5">
        <v>3.5</v>
      </c>
      <c r="Q5">
        <v>13.4</v>
      </c>
      <c r="R5">
        <v>13.4</v>
      </c>
      <c r="S5">
        <v>10.8</v>
      </c>
      <c r="T5">
        <v>10.8</v>
      </c>
    </row>
    <row r="6" spans="1:20">
      <c r="A6">
        <v>170.11</v>
      </c>
      <c r="B6">
        <v>173.56</v>
      </c>
      <c r="C6">
        <v>179.63</v>
      </c>
      <c r="D6">
        <v>180.09</v>
      </c>
      <c r="E6">
        <v>186.24</v>
      </c>
      <c r="F6">
        <v>189.41</v>
      </c>
      <c r="G6">
        <v>197.53</v>
      </c>
      <c r="H6">
        <v>202.19</v>
      </c>
      <c r="I6">
        <v>205.01</v>
      </c>
      <c r="J6">
        <v>214.18</v>
      </c>
      <c r="K6">
        <v>223.65</v>
      </c>
      <c r="L6">
        <v>230.07</v>
      </c>
      <c r="M6">
        <v>13.8</v>
      </c>
      <c r="N6">
        <v>13.8</v>
      </c>
      <c r="Q6">
        <v>12.8</v>
      </c>
      <c r="R6">
        <v>12.8</v>
      </c>
      <c r="S6">
        <v>6.8</v>
      </c>
      <c r="T6">
        <v>6.8</v>
      </c>
    </row>
    <row r="7" spans="1:20">
      <c r="A7">
        <v>124.14</v>
      </c>
      <c r="B7">
        <v>131.69</v>
      </c>
      <c r="C7">
        <v>132.19999999999999</v>
      </c>
      <c r="D7">
        <v>136.52000000000001</v>
      </c>
      <c r="E7">
        <v>137.97999999999999</v>
      </c>
      <c r="F7">
        <v>143.52000000000001</v>
      </c>
      <c r="G7">
        <v>143.34</v>
      </c>
      <c r="H7">
        <v>146.76</v>
      </c>
      <c r="I7">
        <v>144.19999999999999</v>
      </c>
      <c r="J7">
        <v>150.04</v>
      </c>
      <c r="K7">
        <v>147.24</v>
      </c>
      <c r="L7">
        <v>146.86000000000001</v>
      </c>
      <c r="M7">
        <v>13.4</v>
      </c>
      <c r="N7">
        <v>13.4</v>
      </c>
      <c r="Q7">
        <v>10.8</v>
      </c>
      <c r="R7">
        <v>10.8</v>
      </c>
      <c r="S7">
        <v>6.6</v>
      </c>
      <c r="T7">
        <v>6.6</v>
      </c>
    </row>
    <row r="8" spans="1:20">
      <c r="A8">
        <v>214.5</v>
      </c>
      <c r="B8">
        <v>211.8</v>
      </c>
      <c r="C8">
        <v>211</v>
      </c>
      <c r="D8">
        <v>211.7</v>
      </c>
      <c r="E8">
        <v>212.3</v>
      </c>
      <c r="F8">
        <v>214.3</v>
      </c>
      <c r="G8">
        <v>219.9</v>
      </c>
      <c r="H8">
        <v>224.7</v>
      </c>
      <c r="I8">
        <v>230.2</v>
      </c>
      <c r="J8">
        <v>235.6</v>
      </c>
      <c r="K8">
        <v>243</v>
      </c>
      <c r="L8">
        <v>249</v>
      </c>
      <c r="M8">
        <v>12.8</v>
      </c>
      <c r="N8">
        <v>12.8</v>
      </c>
      <c r="Q8">
        <v>8.4</v>
      </c>
      <c r="R8">
        <v>8.4</v>
      </c>
      <c r="S8">
        <v>5.2</v>
      </c>
      <c r="T8">
        <v>5.2</v>
      </c>
    </row>
    <row r="9" spans="1:20">
      <c r="A9">
        <v>140.99</v>
      </c>
      <c r="B9">
        <v>135.13</v>
      </c>
      <c r="C9">
        <v>135.66999999999999</v>
      </c>
      <c r="D9">
        <v>138.07</v>
      </c>
      <c r="E9">
        <v>140.26</v>
      </c>
      <c r="F9">
        <v>136.66</v>
      </c>
      <c r="G9">
        <v>140.94</v>
      </c>
      <c r="H9">
        <v>145.27000000000001</v>
      </c>
      <c r="I9">
        <v>145.57</v>
      </c>
      <c r="J9">
        <v>148.72</v>
      </c>
      <c r="K9">
        <v>151.4</v>
      </c>
      <c r="L9">
        <v>155.15</v>
      </c>
      <c r="M9">
        <v>10.8</v>
      </c>
      <c r="N9">
        <v>10.8</v>
      </c>
      <c r="Q9">
        <v>7.7</v>
      </c>
      <c r="R9">
        <v>7.7</v>
      </c>
      <c r="S9">
        <v>5.0999999999999996</v>
      </c>
      <c r="T9">
        <v>5.0999999999999996</v>
      </c>
    </row>
    <row r="10" spans="1:20">
      <c r="A10">
        <v>191.38</v>
      </c>
      <c r="B10">
        <v>191.43</v>
      </c>
      <c r="C10">
        <v>198.79</v>
      </c>
      <c r="D10">
        <v>198.26</v>
      </c>
      <c r="E10">
        <v>202.4</v>
      </c>
      <c r="F10">
        <v>206.38</v>
      </c>
      <c r="G10">
        <v>212.1</v>
      </c>
      <c r="H10">
        <v>211.03</v>
      </c>
      <c r="I10">
        <v>209.64</v>
      </c>
      <c r="J10">
        <v>215.9</v>
      </c>
      <c r="K10">
        <v>223.74</v>
      </c>
      <c r="L10">
        <v>221.98</v>
      </c>
      <c r="M10">
        <v>10.8</v>
      </c>
      <c r="N10">
        <v>10.8</v>
      </c>
      <c r="Q10">
        <v>7.5</v>
      </c>
      <c r="R10">
        <v>7.5</v>
      </c>
      <c r="S10">
        <v>4</v>
      </c>
      <c r="T10">
        <v>4</v>
      </c>
    </row>
    <row r="11" spans="1:20">
      <c r="A11">
        <v>108.51</v>
      </c>
      <c r="B11">
        <v>105.75</v>
      </c>
      <c r="C11">
        <v>106.58</v>
      </c>
      <c r="D11">
        <v>103.51</v>
      </c>
      <c r="E11">
        <v>102.48</v>
      </c>
      <c r="F11">
        <v>101.5</v>
      </c>
      <c r="G11">
        <v>101.85</v>
      </c>
      <c r="H11">
        <v>101.45</v>
      </c>
      <c r="I11">
        <v>100.59</v>
      </c>
      <c r="J11">
        <v>99.56</v>
      </c>
      <c r="K11">
        <v>100.5</v>
      </c>
      <c r="L11">
        <v>98.28</v>
      </c>
      <c r="M11">
        <v>8.4</v>
      </c>
      <c r="N11">
        <v>8.4</v>
      </c>
      <c r="Q11">
        <v>5.7</v>
      </c>
      <c r="R11">
        <v>5.7</v>
      </c>
      <c r="S11">
        <v>3.5</v>
      </c>
      <c r="T11">
        <v>3.5</v>
      </c>
    </row>
    <row r="12" spans="1:20">
      <c r="A12">
        <v>133.5</v>
      </c>
      <c r="B12">
        <v>132.32</v>
      </c>
      <c r="C12">
        <v>131.72</v>
      </c>
      <c r="D12">
        <v>132.25</v>
      </c>
      <c r="E12">
        <v>128.72999999999999</v>
      </c>
      <c r="F12">
        <v>125.96</v>
      </c>
      <c r="G12">
        <v>125.68</v>
      </c>
      <c r="H12">
        <v>127.64</v>
      </c>
      <c r="I12">
        <v>126.28</v>
      </c>
      <c r="J12">
        <v>126.54</v>
      </c>
      <c r="K12">
        <v>126.54</v>
      </c>
      <c r="L12">
        <v>128.54</v>
      </c>
      <c r="M12">
        <v>7.7</v>
      </c>
      <c r="N12">
        <v>7.7</v>
      </c>
      <c r="Q12">
        <v>5.2</v>
      </c>
      <c r="R12">
        <v>5.2</v>
      </c>
      <c r="S12">
        <v>0.5</v>
      </c>
      <c r="T12">
        <v>0.5</v>
      </c>
    </row>
    <row r="13" spans="1:20">
      <c r="A13">
        <v>158.5</v>
      </c>
      <c r="B13">
        <v>153.69999999999999</v>
      </c>
      <c r="C13">
        <v>151.6</v>
      </c>
      <c r="D13">
        <v>149.30000000000001</v>
      </c>
      <c r="E13">
        <v>146.4</v>
      </c>
      <c r="F13">
        <v>145.80000000000001</v>
      </c>
      <c r="G13">
        <v>147.80000000000001</v>
      </c>
      <c r="H13">
        <v>149</v>
      </c>
      <c r="I13">
        <v>149.19999999999999</v>
      </c>
      <c r="J13">
        <v>150.9</v>
      </c>
      <c r="K13">
        <v>152.4</v>
      </c>
      <c r="L13">
        <v>153.9</v>
      </c>
      <c r="M13">
        <v>7.5</v>
      </c>
      <c r="N13">
        <v>7.5</v>
      </c>
      <c r="Q13">
        <v>3.8</v>
      </c>
      <c r="R13">
        <v>3.8</v>
      </c>
    </row>
    <row r="14" spans="1:20">
      <c r="A14">
        <v>258.43</v>
      </c>
      <c r="B14">
        <v>268.81</v>
      </c>
      <c r="C14">
        <v>271.54000000000002</v>
      </c>
      <c r="D14">
        <v>272.63</v>
      </c>
      <c r="E14">
        <v>277.19</v>
      </c>
      <c r="F14">
        <v>300.99</v>
      </c>
      <c r="G14">
        <v>306.51</v>
      </c>
      <c r="H14">
        <v>309.83</v>
      </c>
      <c r="I14">
        <v>322.11</v>
      </c>
      <c r="J14">
        <v>352.26</v>
      </c>
      <c r="K14">
        <v>363.76</v>
      </c>
      <c r="L14">
        <v>375.19</v>
      </c>
      <c r="M14">
        <v>6.8</v>
      </c>
      <c r="N14">
        <v>6.8</v>
      </c>
      <c r="Q14">
        <v>3.7</v>
      </c>
      <c r="R14">
        <v>3.7</v>
      </c>
    </row>
    <row r="15" spans="1:20">
      <c r="A15">
        <v>227.61</v>
      </c>
      <c r="B15">
        <v>226.99</v>
      </c>
      <c r="C15">
        <v>232.6</v>
      </c>
      <c r="D15">
        <v>230.49</v>
      </c>
      <c r="E15">
        <v>236.19</v>
      </c>
      <c r="F15">
        <v>239.87</v>
      </c>
      <c r="G15">
        <v>246.9</v>
      </c>
      <c r="H15">
        <v>256.22000000000003</v>
      </c>
      <c r="I15">
        <v>257.89</v>
      </c>
      <c r="J15">
        <v>258.38</v>
      </c>
      <c r="K15">
        <v>262.48</v>
      </c>
      <c r="L15">
        <v>265.13</v>
      </c>
      <c r="M15">
        <v>6.6</v>
      </c>
      <c r="N15">
        <v>6.6</v>
      </c>
      <c r="Q15">
        <v>3.3</v>
      </c>
      <c r="R15">
        <v>3.3</v>
      </c>
    </row>
    <row r="16" spans="1:20">
      <c r="A16">
        <v>168.41</v>
      </c>
      <c r="B16">
        <v>167.16</v>
      </c>
      <c r="C16">
        <v>166.3</v>
      </c>
      <c r="D16">
        <v>168.79</v>
      </c>
      <c r="E16">
        <v>173.69</v>
      </c>
      <c r="F16">
        <v>177.7</v>
      </c>
      <c r="G16">
        <v>180.34</v>
      </c>
      <c r="H16">
        <v>185.5</v>
      </c>
      <c r="I16">
        <v>189.97</v>
      </c>
      <c r="J16">
        <v>191.83</v>
      </c>
      <c r="K16">
        <v>194.34</v>
      </c>
      <c r="L16">
        <v>199.46</v>
      </c>
      <c r="M16">
        <v>5.7</v>
      </c>
      <c r="N16">
        <v>5.7</v>
      </c>
      <c r="Q16">
        <v>2.7</v>
      </c>
      <c r="R16">
        <v>2.7</v>
      </c>
    </row>
    <row r="17" spans="1:18">
      <c r="A17">
        <v>106.8</v>
      </c>
      <c r="B17">
        <v>106.8</v>
      </c>
      <c r="C17">
        <v>108.8</v>
      </c>
      <c r="D17">
        <v>108.7</v>
      </c>
      <c r="E17">
        <v>108.7</v>
      </c>
      <c r="F17">
        <v>108.5</v>
      </c>
      <c r="G17">
        <v>112</v>
      </c>
      <c r="H17">
        <v>112.8</v>
      </c>
      <c r="I17">
        <v>113.5</v>
      </c>
      <c r="J17">
        <v>113.3</v>
      </c>
      <c r="K17">
        <v>116.4</v>
      </c>
      <c r="L17">
        <v>117.1</v>
      </c>
      <c r="M17">
        <v>5.2</v>
      </c>
      <c r="N17">
        <v>5.2</v>
      </c>
      <c r="Q17">
        <v>2.7</v>
      </c>
      <c r="R17">
        <v>2.7</v>
      </c>
    </row>
    <row r="18" spans="1:18">
      <c r="A18">
        <v>186.61</v>
      </c>
      <c r="B18">
        <v>186.4</v>
      </c>
      <c r="C18">
        <v>195.54</v>
      </c>
      <c r="D18">
        <v>193.46</v>
      </c>
      <c r="E18">
        <v>188.14</v>
      </c>
      <c r="F18">
        <v>193.14</v>
      </c>
      <c r="G18">
        <v>196.94</v>
      </c>
      <c r="H18">
        <v>203.62</v>
      </c>
      <c r="I18">
        <v>201.9</v>
      </c>
      <c r="J18">
        <v>203.64</v>
      </c>
      <c r="K18">
        <v>209.67</v>
      </c>
      <c r="L18">
        <v>220.67</v>
      </c>
      <c r="M18">
        <v>4</v>
      </c>
      <c r="N18">
        <v>4</v>
      </c>
      <c r="Q18">
        <v>1.2</v>
      </c>
      <c r="R18">
        <v>1.2</v>
      </c>
    </row>
    <row r="19" spans="1:18">
      <c r="A19">
        <v>203.46</v>
      </c>
      <c r="B19">
        <v>207.18</v>
      </c>
      <c r="C19">
        <v>212.05</v>
      </c>
      <c r="D19">
        <v>217.15</v>
      </c>
      <c r="E19">
        <v>220.4</v>
      </c>
      <c r="F19">
        <v>227.7</v>
      </c>
      <c r="G19">
        <v>234.01</v>
      </c>
      <c r="H19">
        <v>236.4</v>
      </c>
      <c r="I19">
        <v>241.98</v>
      </c>
      <c r="J19">
        <v>247.69</v>
      </c>
      <c r="K19">
        <v>254.53</v>
      </c>
      <c r="L19">
        <v>262.01</v>
      </c>
      <c r="M19">
        <v>3.8</v>
      </c>
      <c r="N19">
        <v>3.8</v>
      </c>
      <c r="Q19">
        <v>0.7</v>
      </c>
      <c r="R19">
        <v>0.7</v>
      </c>
    </row>
    <row r="20" spans="1:18">
      <c r="A20">
        <v>189.35</v>
      </c>
      <c r="B20">
        <v>181.2</v>
      </c>
      <c r="C20">
        <v>177.25</v>
      </c>
      <c r="D20">
        <v>165.52</v>
      </c>
      <c r="E20">
        <v>161.96</v>
      </c>
      <c r="F20">
        <v>160.9</v>
      </c>
      <c r="G20">
        <v>162.41</v>
      </c>
      <c r="H20">
        <v>162.44</v>
      </c>
      <c r="I20">
        <v>164.25</v>
      </c>
      <c r="J20">
        <v>162.54</v>
      </c>
      <c r="K20">
        <v>169.75</v>
      </c>
      <c r="L20">
        <v>164.42</v>
      </c>
      <c r="M20">
        <v>3.7</v>
      </c>
      <c r="N20">
        <v>3.7</v>
      </c>
      <c r="Q20">
        <v>0.1</v>
      </c>
      <c r="R20">
        <v>0.1</v>
      </c>
    </row>
    <row r="21" spans="1:18">
      <c r="A21">
        <v>147.24</v>
      </c>
      <c r="B21">
        <v>149.88999999999999</v>
      </c>
      <c r="C21">
        <v>152.24</v>
      </c>
      <c r="D21">
        <v>154.51</v>
      </c>
      <c r="E21">
        <v>157.05000000000001</v>
      </c>
      <c r="F21">
        <v>159.97999999999999</v>
      </c>
      <c r="G21">
        <v>162.74</v>
      </c>
      <c r="H21">
        <v>165.26</v>
      </c>
      <c r="I21">
        <v>166.96</v>
      </c>
      <c r="J21">
        <v>169.36</v>
      </c>
      <c r="K21">
        <v>171.84</v>
      </c>
      <c r="L21">
        <v>174.63</v>
      </c>
      <c r="M21">
        <v>3.3</v>
      </c>
      <c r="N21">
        <v>3.3</v>
      </c>
      <c r="Q21">
        <v>-3.1</v>
      </c>
      <c r="R21">
        <v>-3.1</v>
      </c>
    </row>
    <row r="22" spans="1:18">
      <c r="A22">
        <v>185.89</v>
      </c>
      <c r="B22">
        <v>183.14</v>
      </c>
      <c r="C22">
        <v>180.92</v>
      </c>
      <c r="D22">
        <v>182.91</v>
      </c>
      <c r="E22">
        <v>186.07</v>
      </c>
      <c r="F22">
        <v>189.87</v>
      </c>
      <c r="G22">
        <v>194.81</v>
      </c>
      <c r="H22">
        <v>201.98</v>
      </c>
      <c r="I22">
        <v>206.31</v>
      </c>
      <c r="J22">
        <v>210.27</v>
      </c>
      <c r="K22">
        <v>213.35</v>
      </c>
      <c r="L22">
        <v>217.61</v>
      </c>
      <c r="M22">
        <v>2.7</v>
      </c>
      <c r="N22">
        <v>2.7</v>
      </c>
    </row>
    <row r="23" spans="1:18">
      <c r="A23">
        <v>142.62</v>
      </c>
      <c r="B23">
        <v>147.07</v>
      </c>
      <c r="C23">
        <v>150.5</v>
      </c>
      <c r="D23">
        <v>147.25</v>
      </c>
      <c r="E23">
        <v>145.68</v>
      </c>
      <c r="F23">
        <v>149.75</v>
      </c>
      <c r="G23">
        <v>154.96</v>
      </c>
      <c r="H23">
        <v>154.35</v>
      </c>
      <c r="I23">
        <v>152.59</v>
      </c>
      <c r="J23">
        <v>159.86000000000001</v>
      </c>
      <c r="K23">
        <v>163.15</v>
      </c>
      <c r="L23">
        <v>162.28</v>
      </c>
      <c r="M23">
        <v>2.7</v>
      </c>
      <c r="N23">
        <v>2.7</v>
      </c>
    </row>
    <row r="24" spans="1:18">
      <c r="A24">
        <v>169.64</v>
      </c>
      <c r="B24">
        <v>169.52</v>
      </c>
      <c r="C24">
        <v>175</v>
      </c>
      <c r="D24">
        <v>182.88</v>
      </c>
      <c r="E24">
        <v>191.72</v>
      </c>
      <c r="F24">
        <v>200.04</v>
      </c>
      <c r="G24">
        <v>205.92</v>
      </c>
      <c r="H24">
        <v>209.2</v>
      </c>
      <c r="I24">
        <v>211.65</v>
      </c>
      <c r="J24">
        <v>213.2</v>
      </c>
      <c r="K24">
        <v>215.66</v>
      </c>
      <c r="L24">
        <v>217.54</v>
      </c>
      <c r="M24">
        <v>1.2</v>
      </c>
      <c r="N24">
        <v>1.2</v>
      </c>
    </row>
    <row r="25" spans="1:18">
      <c r="A25">
        <v>195.91</v>
      </c>
      <c r="B25">
        <v>198.55</v>
      </c>
      <c r="C25">
        <v>204.74</v>
      </c>
      <c r="D25">
        <v>208.48</v>
      </c>
      <c r="E25">
        <v>211.27</v>
      </c>
      <c r="F25">
        <v>212.45</v>
      </c>
      <c r="G25">
        <v>220.74</v>
      </c>
      <c r="H25">
        <v>228.89</v>
      </c>
      <c r="I25">
        <v>235.68</v>
      </c>
      <c r="J25">
        <v>247.05</v>
      </c>
      <c r="K25">
        <v>258.77999999999997</v>
      </c>
      <c r="L25">
        <v>269.35000000000002</v>
      </c>
      <c r="M25">
        <v>0.7</v>
      </c>
      <c r="N25">
        <v>0.7</v>
      </c>
    </row>
    <row r="26" spans="1:18">
      <c r="A26">
        <v>146.83000000000001</v>
      </c>
      <c r="B26">
        <v>146.28</v>
      </c>
      <c r="C26">
        <v>145.13999999999999</v>
      </c>
      <c r="D26">
        <v>150.02000000000001</v>
      </c>
      <c r="E26">
        <v>152.28</v>
      </c>
      <c r="F26">
        <v>154.26</v>
      </c>
      <c r="G26">
        <v>155.06</v>
      </c>
      <c r="H26">
        <v>155.86000000000001</v>
      </c>
      <c r="I26">
        <v>158.36000000000001</v>
      </c>
      <c r="J26">
        <v>161.75</v>
      </c>
      <c r="K26">
        <v>162.38</v>
      </c>
      <c r="L26">
        <v>166.14</v>
      </c>
      <c r="M26">
        <v>0.5</v>
      </c>
      <c r="N26">
        <v>0.5</v>
      </c>
    </row>
    <row r="27" spans="1:18">
      <c r="A27">
        <v>179.07</v>
      </c>
      <c r="B27">
        <v>178.82</v>
      </c>
      <c r="C27">
        <v>171.75</v>
      </c>
      <c r="D27">
        <v>173.2</v>
      </c>
      <c r="E27">
        <v>176.56</v>
      </c>
      <c r="F27">
        <v>173.51</v>
      </c>
      <c r="G27">
        <v>178.7</v>
      </c>
      <c r="H27">
        <v>183.88</v>
      </c>
      <c r="I27">
        <v>190.58</v>
      </c>
      <c r="J27">
        <v>194.6</v>
      </c>
      <c r="K27">
        <v>198.85</v>
      </c>
      <c r="L27">
        <v>208.52</v>
      </c>
      <c r="M27">
        <v>0.1</v>
      </c>
      <c r="N27">
        <v>0.1</v>
      </c>
    </row>
    <row r="28" spans="1:18">
      <c r="A28">
        <v>178.83</v>
      </c>
      <c r="B28">
        <v>181.96</v>
      </c>
      <c r="C28">
        <v>185.39</v>
      </c>
      <c r="D28">
        <v>186.33</v>
      </c>
      <c r="E28">
        <v>191.19</v>
      </c>
      <c r="F28">
        <v>195.44</v>
      </c>
      <c r="G28">
        <v>198.33</v>
      </c>
      <c r="H28">
        <v>201.54</v>
      </c>
      <c r="I28">
        <v>205.71</v>
      </c>
      <c r="J28">
        <v>201.66</v>
      </c>
      <c r="K28">
        <v>209.31</v>
      </c>
      <c r="L28">
        <v>207.03</v>
      </c>
      <c r="M28">
        <v>-3.1</v>
      </c>
      <c r="N28">
        <v>-3.1</v>
      </c>
    </row>
    <row r="29" spans="1:18">
      <c r="A29">
        <v>142.99</v>
      </c>
      <c r="B29">
        <v>143.97999999999999</v>
      </c>
      <c r="C29">
        <v>146.97</v>
      </c>
      <c r="D29">
        <v>150.68</v>
      </c>
      <c r="E29">
        <v>149.13</v>
      </c>
      <c r="F29">
        <v>153.18</v>
      </c>
      <c r="G29">
        <v>158.63</v>
      </c>
      <c r="H29">
        <v>163.12</v>
      </c>
      <c r="I29">
        <v>166.07</v>
      </c>
      <c r="J29">
        <v>172</v>
      </c>
      <c r="K29">
        <v>178.89</v>
      </c>
      <c r="L29">
        <v>184.06</v>
      </c>
    </row>
    <row r="30" spans="1:18">
      <c r="A30">
        <v>133.49</v>
      </c>
      <c r="B30">
        <v>132.37</v>
      </c>
      <c r="C30">
        <v>133.15</v>
      </c>
      <c r="D30">
        <v>132.61000000000001</v>
      </c>
      <c r="E30">
        <v>129.59</v>
      </c>
      <c r="F30">
        <v>130.30000000000001</v>
      </c>
      <c r="G30">
        <v>132.13</v>
      </c>
      <c r="H30">
        <v>133</v>
      </c>
      <c r="I30">
        <v>132.63999999999999</v>
      </c>
      <c r="J30">
        <v>132.72999999999999</v>
      </c>
      <c r="K30">
        <v>133.01</v>
      </c>
      <c r="L30">
        <v>133.66999999999999</v>
      </c>
    </row>
    <row r="32" spans="1:18">
      <c r="A32">
        <v>783.05</v>
      </c>
      <c r="B32">
        <v>960.71</v>
      </c>
      <c r="C32">
        <v>1112.22</v>
      </c>
      <c r="D32">
        <v>1325.85</v>
      </c>
      <c r="E32">
        <v>1466.37</v>
      </c>
      <c r="F32">
        <v>1569.31</v>
      </c>
      <c r="G32">
        <v>1664.83</v>
      </c>
      <c r="H32">
        <v>1767.04</v>
      </c>
      <c r="I32">
        <v>1884.94</v>
      </c>
    </row>
    <row r="33" spans="1:20">
      <c r="A33" s="4">
        <f t="shared" ref="A33:L33" si="0">MEDIAN(A3:A32)</f>
        <v>169.64</v>
      </c>
      <c r="B33" s="4">
        <f t="shared" si="0"/>
        <v>169.52</v>
      </c>
      <c r="C33" s="4">
        <f t="shared" si="0"/>
        <v>171.75</v>
      </c>
      <c r="D33" s="4">
        <f t="shared" si="0"/>
        <v>168.79</v>
      </c>
      <c r="E33" s="4">
        <f t="shared" si="0"/>
        <v>173.69</v>
      </c>
      <c r="F33" s="4">
        <f t="shared" si="0"/>
        <v>173.51</v>
      </c>
      <c r="G33" s="4">
        <f t="shared" si="0"/>
        <v>178.7</v>
      </c>
      <c r="H33" s="4">
        <f t="shared" si="0"/>
        <v>183.88</v>
      </c>
      <c r="I33" s="4">
        <f t="shared" si="0"/>
        <v>189.97</v>
      </c>
      <c r="J33" s="4">
        <f t="shared" si="0"/>
        <v>181.91500000000002</v>
      </c>
      <c r="K33" s="4">
        <f t="shared" si="0"/>
        <v>186.61500000000001</v>
      </c>
      <c r="L33" s="4">
        <f t="shared" si="0"/>
        <v>191.76</v>
      </c>
      <c r="M33" s="4">
        <f>AVERAGE(M3:M28)</f>
        <v>7.049999999999998</v>
      </c>
      <c r="N33" s="4">
        <f>MEDIAN(N3:N32)</f>
        <v>6.15</v>
      </c>
      <c r="O33" s="4">
        <f>AVERAGE(O3:O5)</f>
        <v>4.6000000000000005</v>
      </c>
      <c r="P33" s="4">
        <f>MEDIAN(P3:P5)</f>
        <v>5.0999999999999996</v>
      </c>
      <c r="Q33" s="4">
        <f>AVERAGE(Q3:Q21)</f>
        <v>6.2157894736842119</v>
      </c>
      <c r="R33" s="4">
        <f>MEDIAN(R3:R21)</f>
        <v>5.2</v>
      </c>
      <c r="S33" s="4">
        <f>AVERAGE(S3:S12)</f>
        <v>7.8999999999999986</v>
      </c>
      <c r="T33" s="4">
        <f>MEDIAN(T3:T12)</f>
        <v>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A3" sqref="A3"/>
    </sheetView>
  </sheetViews>
  <sheetFormatPr defaultRowHeight="15"/>
  <cols>
    <col min="1" max="1" width="16.85546875" customWidth="1"/>
    <col min="2" max="2" width="15.85546875" bestFit="1" customWidth="1"/>
  </cols>
  <sheetData>
    <row r="3" spans="1:2">
      <c r="A3" s="3" t="s">
        <v>0</v>
      </c>
      <c r="B3" t="s">
        <v>79</v>
      </c>
    </row>
    <row r="4" spans="1:2">
      <c r="A4" s="1" t="s">
        <v>71</v>
      </c>
      <c r="B4" s="2">
        <v>1</v>
      </c>
    </row>
    <row r="5" spans="1:2">
      <c r="A5" s="1" t="s">
        <v>70</v>
      </c>
      <c r="B5" s="2">
        <v>11</v>
      </c>
    </row>
    <row r="6" spans="1:2">
      <c r="A6" s="1" t="s">
        <v>69</v>
      </c>
      <c r="B6" s="2">
        <v>17</v>
      </c>
    </row>
    <row r="7" spans="1:2">
      <c r="A7" s="1" t="s">
        <v>13</v>
      </c>
      <c r="B7" s="2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97"/>
  <sheetViews>
    <sheetView workbookViewId="0">
      <selection sqref="A1:O1"/>
    </sheetView>
  </sheetViews>
  <sheetFormatPr defaultRowHeight="15"/>
  <cols>
    <col min="1" max="1" width="13.5703125" customWidth="1"/>
    <col min="2" max="2" width="27.28515625" customWidth="1"/>
    <col min="10" max="10" width="7.7109375" customWidth="1"/>
    <col min="11" max="11" width="15.7109375" customWidth="1"/>
    <col min="12" max="12" width="27.28515625" customWidth="1"/>
    <col min="13" max="13" width="15.28515625" customWidth="1"/>
  </cols>
  <sheetData>
    <row r="1" spans="1:18" ht="25.5">
      <c r="A1" s="39" t="s">
        <v>81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3"/>
      <c r="Q1" s="33"/>
      <c r="R1" s="33"/>
    </row>
    <row r="2" spans="1:18">
      <c r="A2" s="27" t="s">
        <v>28</v>
      </c>
      <c r="B2" s="36" t="s">
        <v>29</v>
      </c>
      <c r="C2" s="13"/>
      <c r="D2" s="13"/>
      <c r="E2" s="13"/>
      <c r="F2" s="13"/>
      <c r="G2" s="13"/>
      <c r="H2" s="13"/>
      <c r="I2" s="13"/>
      <c r="J2" s="10"/>
      <c r="K2" s="38" t="s">
        <v>80</v>
      </c>
      <c r="L2" s="38"/>
      <c r="M2" s="10"/>
      <c r="N2" s="10"/>
      <c r="O2" s="10"/>
      <c r="P2" s="10"/>
      <c r="Q2" s="10"/>
      <c r="R2" s="10"/>
    </row>
    <row r="3" spans="1:18">
      <c r="A3" s="23" t="s">
        <v>1</v>
      </c>
      <c r="B3" s="25">
        <v>169.64</v>
      </c>
      <c r="C3" s="13"/>
      <c r="D3" s="13"/>
      <c r="E3" s="13"/>
      <c r="F3" s="13"/>
      <c r="G3" s="13"/>
      <c r="H3" s="13"/>
      <c r="I3" s="13"/>
      <c r="J3" s="10"/>
      <c r="K3" s="46" t="s">
        <v>58</v>
      </c>
      <c r="L3" s="46" t="s">
        <v>61</v>
      </c>
      <c r="M3" s="10"/>
      <c r="N3" s="10"/>
      <c r="O3" s="10"/>
      <c r="P3" s="10"/>
      <c r="Q3" s="10"/>
      <c r="R3" s="10"/>
    </row>
    <row r="4" spans="1:18">
      <c r="A4" s="23" t="s">
        <v>2</v>
      </c>
      <c r="B4" s="25">
        <v>169.52</v>
      </c>
      <c r="C4" s="13"/>
      <c r="D4" s="13"/>
      <c r="E4" s="13"/>
      <c r="F4" s="13"/>
      <c r="G4" s="13"/>
      <c r="H4" s="13"/>
      <c r="I4" s="13"/>
      <c r="J4" s="10"/>
      <c r="K4" s="11" t="s">
        <v>59</v>
      </c>
      <c r="L4" s="26">
        <v>7.0499999999999993E-2</v>
      </c>
      <c r="M4" s="10"/>
      <c r="N4" s="10"/>
      <c r="O4" s="10"/>
      <c r="P4" s="10"/>
      <c r="Q4" s="10"/>
      <c r="R4" s="10"/>
    </row>
    <row r="5" spans="1:18">
      <c r="A5" s="23" t="s">
        <v>3</v>
      </c>
      <c r="B5" s="25">
        <v>171.75</v>
      </c>
      <c r="C5" s="13"/>
      <c r="D5" s="13"/>
      <c r="E5" s="13"/>
      <c r="F5" s="13"/>
      <c r="G5" s="13"/>
      <c r="H5" s="13"/>
      <c r="I5" s="13"/>
      <c r="J5" s="10"/>
      <c r="K5" s="11" t="s">
        <v>60</v>
      </c>
      <c r="L5" s="26">
        <v>4.5999999999999999E-2</v>
      </c>
      <c r="M5" s="10"/>
      <c r="N5" s="10"/>
      <c r="O5" s="10"/>
      <c r="P5" s="10"/>
      <c r="Q5" s="10"/>
      <c r="R5" s="10"/>
    </row>
    <row r="6" spans="1:18">
      <c r="A6" s="23" t="s">
        <v>4</v>
      </c>
      <c r="B6" s="25">
        <v>168.79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0"/>
      <c r="Q6" s="10"/>
      <c r="R6" s="10"/>
    </row>
    <row r="7" spans="1:18">
      <c r="A7" s="23" t="s">
        <v>5</v>
      </c>
      <c r="B7" s="25">
        <v>178.69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0"/>
      <c r="Q7" s="10"/>
      <c r="R7" s="10"/>
    </row>
    <row r="8" spans="1:18">
      <c r="A8" s="23" t="s">
        <v>6</v>
      </c>
      <c r="B8" s="25">
        <v>173.51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0"/>
      <c r="Q8" s="10"/>
      <c r="R8" s="10"/>
    </row>
    <row r="9" spans="1:18">
      <c r="A9" s="23" t="s">
        <v>7</v>
      </c>
      <c r="B9" s="25">
        <v>178.7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0"/>
      <c r="Q9" s="10"/>
      <c r="R9" s="10"/>
    </row>
    <row r="10" spans="1:18">
      <c r="A10" s="23" t="s">
        <v>8</v>
      </c>
      <c r="B10" s="25">
        <v>183.88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0"/>
      <c r="Q10" s="10"/>
      <c r="R10" s="10"/>
    </row>
    <row r="11" spans="1:18">
      <c r="A11" s="23" t="s">
        <v>9</v>
      </c>
      <c r="B11" s="25">
        <v>189.97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0"/>
      <c r="Q11" s="10"/>
      <c r="R11" s="10"/>
    </row>
    <row r="12" spans="1:18">
      <c r="A12" s="23" t="s">
        <v>10</v>
      </c>
      <c r="B12" s="25">
        <v>181.92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0"/>
      <c r="Q12" s="10"/>
      <c r="R12" s="10"/>
    </row>
    <row r="13" spans="1:18">
      <c r="A13" s="23" t="s">
        <v>11</v>
      </c>
      <c r="B13" s="25">
        <v>186.62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0"/>
      <c r="Q13" s="10"/>
      <c r="R13" s="10"/>
    </row>
    <row r="14" spans="1:18">
      <c r="A14" s="23" t="s">
        <v>12</v>
      </c>
      <c r="B14" s="25">
        <v>191.76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0"/>
      <c r="Q14" s="10"/>
      <c r="R14" s="10"/>
    </row>
    <row r="15" spans="1:18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13"/>
      <c r="L15" s="13"/>
      <c r="M15" s="13"/>
      <c r="N15" s="13"/>
      <c r="O15" s="13"/>
      <c r="P15" s="10"/>
      <c r="Q15" s="10"/>
      <c r="R15" s="10"/>
    </row>
    <row r="16" spans="1:18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13"/>
      <c r="L16" s="13"/>
      <c r="M16" s="13"/>
      <c r="N16" s="13"/>
      <c r="O16" s="13"/>
      <c r="P16" s="10"/>
      <c r="Q16" s="10"/>
      <c r="R16" s="10"/>
    </row>
    <row r="17" spans="1:18">
      <c r="A17" s="28" t="s">
        <v>52</v>
      </c>
      <c r="B17" s="37" t="s">
        <v>17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0"/>
      <c r="Q17" s="10"/>
      <c r="R17" s="10"/>
    </row>
    <row r="18" spans="1:18">
      <c r="A18" s="9" t="s">
        <v>31</v>
      </c>
      <c r="B18" s="24">
        <v>21.1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0"/>
      <c r="Q18" s="10"/>
      <c r="R18" s="10"/>
    </row>
    <row r="19" spans="1:18">
      <c r="A19" s="9" t="s">
        <v>32</v>
      </c>
      <c r="B19" s="24">
        <v>17.7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0"/>
      <c r="Q19" s="10"/>
      <c r="R19" s="10"/>
    </row>
    <row r="20" spans="1:18">
      <c r="A20" s="9" t="s">
        <v>33</v>
      </c>
      <c r="B20" s="24">
        <v>15.4</v>
      </c>
      <c r="C20" s="13"/>
      <c r="D20" s="13"/>
      <c r="E20" s="13"/>
      <c r="F20" s="13"/>
      <c r="G20" s="13"/>
      <c r="H20" s="13"/>
      <c r="I20" s="13"/>
      <c r="J20" s="10"/>
      <c r="K20" s="10"/>
      <c r="L20" s="10"/>
      <c r="M20" s="10"/>
      <c r="N20" s="10"/>
      <c r="O20" s="10"/>
      <c r="P20" s="10"/>
      <c r="Q20" s="10"/>
      <c r="R20" s="10"/>
    </row>
    <row r="21" spans="1:18">
      <c r="A21" s="9" t="s">
        <v>34</v>
      </c>
      <c r="B21" s="24">
        <v>13.8</v>
      </c>
      <c r="C21" s="13"/>
      <c r="D21" s="13"/>
      <c r="E21" s="13"/>
      <c r="F21" s="13"/>
      <c r="G21" s="13"/>
      <c r="H21" s="13"/>
      <c r="I21" s="13"/>
      <c r="J21" s="10"/>
      <c r="K21" s="10"/>
      <c r="L21" s="10"/>
      <c r="M21" s="10"/>
      <c r="N21" s="10"/>
      <c r="O21" s="10"/>
      <c r="P21" s="10"/>
      <c r="Q21" s="10"/>
      <c r="R21" s="10"/>
    </row>
    <row r="22" spans="1:18">
      <c r="A22" s="9" t="s">
        <v>35</v>
      </c>
      <c r="B22" s="24">
        <v>13.4</v>
      </c>
      <c r="C22" s="13"/>
      <c r="D22" s="13"/>
      <c r="E22" s="13"/>
      <c r="F22" s="13"/>
      <c r="G22" s="13"/>
      <c r="H22" s="13"/>
      <c r="I22" s="13"/>
      <c r="J22" s="8"/>
      <c r="K22" s="34" t="s">
        <v>68</v>
      </c>
      <c r="L22" s="35" t="s">
        <v>30</v>
      </c>
      <c r="M22" s="29" t="s">
        <v>0</v>
      </c>
      <c r="N22" s="30" t="s">
        <v>79</v>
      </c>
      <c r="O22" s="31"/>
      <c r="P22" s="12"/>
      <c r="Q22" s="12"/>
      <c r="R22" s="12"/>
    </row>
    <row r="23" spans="1:18">
      <c r="A23" s="9" t="s">
        <v>36</v>
      </c>
      <c r="B23" s="24">
        <v>12.8</v>
      </c>
      <c r="C23" s="13"/>
      <c r="D23" s="13"/>
      <c r="E23" s="13"/>
      <c r="F23" s="13"/>
      <c r="G23" s="13"/>
      <c r="H23" s="13"/>
      <c r="I23" s="13"/>
      <c r="J23" s="8"/>
      <c r="K23" s="6" t="s">
        <v>69</v>
      </c>
      <c r="L23" s="7" t="s">
        <v>31</v>
      </c>
      <c r="M23" s="14" t="s">
        <v>71</v>
      </c>
      <c r="N23" s="15">
        <v>1</v>
      </c>
      <c r="O23" s="16"/>
      <c r="P23" s="12"/>
      <c r="Q23" s="12"/>
      <c r="R23" s="12"/>
    </row>
    <row r="24" spans="1:18">
      <c r="A24" s="9" t="s">
        <v>37</v>
      </c>
      <c r="B24" s="24">
        <v>10.8</v>
      </c>
      <c r="C24" s="13"/>
      <c r="D24" s="13"/>
      <c r="E24" s="13"/>
      <c r="F24" s="13"/>
      <c r="G24" s="13"/>
      <c r="H24" s="13"/>
      <c r="I24" s="13"/>
      <c r="J24" s="8"/>
      <c r="K24" s="6" t="s">
        <v>69</v>
      </c>
      <c r="L24" s="7" t="s">
        <v>32</v>
      </c>
      <c r="M24" s="14" t="s">
        <v>70</v>
      </c>
      <c r="N24" s="15">
        <v>11</v>
      </c>
      <c r="O24" s="16"/>
      <c r="P24" s="12"/>
      <c r="Q24" s="12"/>
      <c r="R24" s="12"/>
    </row>
    <row r="25" spans="1:18">
      <c r="A25" s="9" t="s">
        <v>38</v>
      </c>
      <c r="B25" s="24">
        <v>10.8</v>
      </c>
      <c r="C25" s="13"/>
      <c r="D25" s="13"/>
      <c r="E25" s="13"/>
      <c r="F25" s="13"/>
      <c r="G25" s="13"/>
      <c r="H25" s="13"/>
      <c r="I25" s="13"/>
      <c r="J25" s="8"/>
      <c r="K25" s="6" t="s">
        <v>69</v>
      </c>
      <c r="L25" s="7" t="s">
        <v>33</v>
      </c>
      <c r="M25" s="17" t="s">
        <v>69</v>
      </c>
      <c r="N25" s="18">
        <v>17</v>
      </c>
      <c r="O25" s="19"/>
      <c r="P25" s="12"/>
      <c r="Q25" s="12"/>
      <c r="R25" s="12"/>
    </row>
    <row r="26" spans="1:18">
      <c r="A26" s="9" t="s">
        <v>39</v>
      </c>
      <c r="B26" s="24">
        <v>8.4</v>
      </c>
      <c r="C26" s="13"/>
      <c r="D26" s="13"/>
      <c r="E26" s="13"/>
      <c r="F26" s="13"/>
      <c r="G26" s="13"/>
      <c r="H26" s="13"/>
      <c r="I26" s="13"/>
      <c r="J26" s="8"/>
      <c r="K26" s="6" t="s">
        <v>69</v>
      </c>
      <c r="L26" s="7" t="s">
        <v>34</v>
      </c>
      <c r="M26" s="20" t="s">
        <v>13</v>
      </c>
      <c r="N26" s="21">
        <v>29</v>
      </c>
      <c r="O26" s="22"/>
      <c r="P26" s="13"/>
      <c r="Q26" s="13"/>
      <c r="R26" s="12"/>
    </row>
    <row r="27" spans="1:18">
      <c r="A27" s="9" t="s">
        <v>40</v>
      </c>
      <c r="B27" s="24">
        <v>7.7</v>
      </c>
      <c r="C27" s="13"/>
      <c r="D27" s="13"/>
      <c r="E27" s="13"/>
      <c r="F27" s="13"/>
      <c r="G27" s="13"/>
      <c r="H27" s="13"/>
      <c r="I27" s="13"/>
      <c r="J27" s="8"/>
      <c r="K27" s="6" t="s">
        <v>69</v>
      </c>
      <c r="L27" s="6" t="s">
        <v>35</v>
      </c>
      <c r="M27" s="13"/>
      <c r="N27" s="13"/>
      <c r="O27" s="13"/>
      <c r="P27" s="13"/>
      <c r="Q27" s="13"/>
      <c r="R27" s="12"/>
    </row>
    <row r="28" spans="1:18">
      <c r="A28" s="8"/>
      <c r="B28" s="8"/>
      <c r="C28" s="8"/>
      <c r="D28" s="8"/>
      <c r="E28" s="8"/>
      <c r="F28" s="8"/>
      <c r="G28" s="8"/>
      <c r="H28" s="8"/>
      <c r="I28" s="8"/>
      <c r="J28" s="8"/>
      <c r="K28" s="6" t="s">
        <v>69</v>
      </c>
      <c r="L28" s="6" t="s">
        <v>36</v>
      </c>
      <c r="M28" s="13"/>
      <c r="N28" s="13"/>
      <c r="O28" s="13"/>
      <c r="P28" s="13"/>
      <c r="Q28" s="13"/>
      <c r="R28" s="12"/>
    </row>
    <row r="29" spans="1:18">
      <c r="A29" s="8"/>
      <c r="B29" s="8"/>
      <c r="C29" s="8"/>
      <c r="D29" s="8"/>
      <c r="E29" s="8"/>
      <c r="F29" s="8"/>
      <c r="G29" s="8"/>
      <c r="H29" s="8"/>
      <c r="I29" s="8"/>
      <c r="J29" s="8"/>
      <c r="K29" s="6" t="s">
        <v>69</v>
      </c>
      <c r="L29" s="6" t="s">
        <v>37</v>
      </c>
      <c r="M29" s="13"/>
      <c r="N29" s="13"/>
      <c r="O29" s="13"/>
      <c r="P29" s="13"/>
      <c r="Q29" s="13"/>
      <c r="R29" s="12"/>
    </row>
    <row r="30" spans="1:18">
      <c r="A30" s="8"/>
      <c r="B30" s="8"/>
      <c r="C30" s="8"/>
      <c r="D30" s="8"/>
      <c r="E30" s="8"/>
      <c r="F30" s="8"/>
      <c r="G30" s="8"/>
      <c r="H30" s="8"/>
      <c r="I30" s="8"/>
      <c r="J30" s="8"/>
      <c r="K30" s="6" t="s">
        <v>69</v>
      </c>
      <c r="L30" s="6" t="s">
        <v>38</v>
      </c>
      <c r="M30" s="13"/>
      <c r="N30" s="13"/>
      <c r="O30" s="13"/>
      <c r="P30" s="13"/>
      <c r="Q30" s="13"/>
      <c r="R30" s="12"/>
    </row>
    <row r="31" spans="1:18">
      <c r="A31" s="8"/>
      <c r="B31" s="8"/>
      <c r="C31" s="8"/>
      <c r="D31" s="8"/>
      <c r="E31" s="8"/>
      <c r="F31" s="8"/>
      <c r="G31" s="8"/>
      <c r="H31" s="8"/>
      <c r="I31" s="8"/>
      <c r="J31" s="8"/>
      <c r="K31" s="6" t="s">
        <v>69</v>
      </c>
      <c r="L31" s="6" t="s">
        <v>39</v>
      </c>
      <c r="M31" s="13"/>
      <c r="N31" s="13"/>
      <c r="O31" s="13"/>
      <c r="P31" s="13"/>
      <c r="Q31" s="13"/>
      <c r="R31" s="12"/>
    </row>
    <row r="32" spans="1:18">
      <c r="A32" s="50" t="s">
        <v>30</v>
      </c>
      <c r="B32" s="50" t="s">
        <v>82</v>
      </c>
      <c r="C32" s="48"/>
      <c r="D32" s="48"/>
      <c r="E32" s="48"/>
      <c r="F32" s="48"/>
      <c r="G32" s="48"/>
      <c r="H32" s="48"/>
      <c r="I32" s="48"/>
      <c r="J32" s="48"/>
      <c r="K32" s="6" t="s">
        <v>69</v>
      </c>
      <c r="L32" s="6" t="s">
        <v>40</v>
      </c>
      <c r="M32" s="13"/>
      <c r="N32" s="13"/>
      <c r="O32" s="13"/>
      <c r="P32" s="13"/>
      <c r="Q32" s="13"/>
      <c r="R32" s="12"/>
    </row>
    <row r="33" spans="1:18">
      <c r="A33" s="47" t="s">
        <v>31</v>
      </c>
      <c r="B33" s="49">
        <v>275.19</v>
      </c>
      <c r="C33" s="48"/>
      <c r="D33" s="48"/>
      <c r="E33" s="48"/>
      <c r="F33" s="48"/>
      <c r="G33" s="48"/>
      <c r="H33" s="48"/>
      <c r="I33" s="48"/>
      <c r="J33" s="48"/>
      <c r="K33" s="6" t="s">
        <v>69</v>
      </c>
      <c r="L33" s="6" t="s">
        <v>53</v>
      </c>
      <c r="M33" s="13"/>
      <c r="N33" s="13"/>
      <c r="O33" s="13"/>
      <c r="P33" s="13"/>
      <c r="Q33" s="13"/>
      <c r="R33" s="12"/>
    </row>
    <row r="34" spans="1:18">
      <c r="A34" s="47" t="s">
        <v>32</v>
      </c>
      <c r="B34" s="49">
        <v>169.35</v>
      </c>
      <c r="C34" s="48"/>
      <c r="D34" s="48"/>
      <c r="E34" s="48"/>
      <c r="F34" s="48"/>
      <c r="G34" s="48"/>
      <c r="H34" s="48"/>
      <c r="I34" s="48"/>
      <c r="J34" s="48"/>
      <c r="K34" s="6" t="s">
        <v>69</v>
      </c>
      <c r="L34" s="6" t="s">
        <v>44</v>
      </c>
      <c r="M34" s="13"/>
      <c r="N34" s="13"/>
      <c r="O34" s="13"/>
      <c r="P34" s="13"/>
      <c r="Q34" s="13"/>
      <c r="R34" s="12"/>
    </row>
    <row r="35" spans="1:18">
      <c r="A35" s="47" t="s">
        <v>74</v>
      </c>
      <c r="B35" s="49">
        <v>165.13</v>
      </c>
      <c r="C35" s="48"/>
      <c r="D35" s="48"/>
      <c r="E35" s="48"/>
      <c r="F35" s="48"/>
      <c r="G35" s="48"/>
      <c r="H35" s="48"/>
      <c r="I35" s="48"/>
      <c r="J35" s="48"/>
      <c r="K35" s="6" t="s">
        <v>69</v>
      </c>
      <c r="L35" s="6" t="s">
        <v>54</v>
      </c>
      <c r="M35" s="13"/>
      <c r="N35" s="13"/>
      <c r="O35" s="13"/>
      <c r="P35" s="13"/>
      <c r="Q35" s="13"/>
      <c r="R35" s="12"/>
    </row>
    <row r="36" spans="1:18">
      <c r="A36" s="47" t="s">
        <v>38</v>
      </c>
      <c r="B36" s="49">
        <v>162.01</v>
      </c>
      <c r="C36" s="48"/>
      <c r="D36" s="48"/>
      <c r="E36" s="48"/>
      <c r="F36" s="48"/>
      <c r="G36" s="48"/>
      <c r="H36" s="48"/>
      <c r="I36" s="48"/>
      <c r="J36" s="48"/>
      <c r="K36" s="6" t="s">
        <v>69</v>
      </c>
      <c r="L36" s="6" t="s">
        <v>55</v>
      </c>
      <c r="M36" s="13"/>
      <c r="N36" s="13"/>
      <c r="O36" s="13"/>
      <c r="P36" s="13"/>
      <c r="Q36" s="13"/>
      <c r="R36" s="12"/>
    </row>
    <row r="37" spans="1:18">
      <c r="A37" s="47" t="s">
        <v>33</v>
      </c>
      <c r="B37" s="49">
        <v>156.01</v>
      </c>
      <c r="C37" s="48"/>
      <c r="D37" s="48"/>
      <c r="E37" s="48"/>
      <c r="F37" s="48"/>
      <c r="G37" s="48"/>
      <c r="H37" s="48"/>
      <c r="I37" s="48"/>
      <c r="J37" s="48"/>
      <c r="K37" s="6" t="s">
        <v>69</v>
      </c>
      <c r="L37" s="6" t="s">
        <v>45</v>
      </c>
      <c r="M37" s="13"/>
      <c r="N37" s="13"/>
      <c r="O37" s="13"/>
      <c r="P37" s="13"/>
      <c r="Q37" s="13"/>
      <c r="R37" s="12"/>
    </row>
    <row r="38" spans="1:18">
      <c r="A38" s="47" t="s">
        <v>37</v>
      </c>
      <c r="B38" s="49">
        <v>149</v>
      </c>
      <c r="C38" s="48"/>
      <c r="D38" s="48"/>
      <c r="E38" s="48"/>
      <c r="F38" s="48"/>
      <c r="G38" s="48"/>
      <c r="H38" s="48"/>
      <c r="I38" s="48"/>
      <c r="J38" s="48"/>
      <c r="K38" s="6" t="s">
        <v>69</v>
      </c>
      <c r="L38" s="6" t="s">
        <v>56</v>
      </c>
      <c r="M38" s="13"/>
      <c r="N38" s="13"/>
      <c r="O38" s="13"/>
      <c r="P38" s="13"/>
      <c r="Q38" s="13"/>
      <c r="R38" s="12"/>
    </row>
    <row r="39" spans="1:18">
      <c r="A39" s="47" t="s">
        <v>34</v>
      </c>
      <c r="B39" s="49">
        <v>130.07</v>
      </c>
      <c r="C39" s="48"/>
      <c r="D39" s="48"/>
      <c r="E39" s="48"/>
      <c r="F39" s="48"/>
      <c r="G39" s="48"/>
      <c r="H39" s="48"/>
      <c r="I39" s="48"/>
      <c r="J39" s="48"/>
      <c r="K39" s="6" t="s">
        <v>69</v>
      </c>
      <c r="L39" s="6" t="s">
        <v>57</v>
      </c>
      <c r="M39" s="13"/>
      <c r="N39" s="13"/>
      <c r="O39" s="13"/>
      <c r="P39" s="13"/>
      <c r="Q39" s="13"/>
      <c r="R39" s="12"/>
    </row>
    <row r="40" spans="1:18">
      <c r="A40" s="47" t="s">
        <v>45</v>
      </c>
      <c r="B40" s="49">
        <v>121.98</v>
      </c>
      <c r="C40" s="48"/>
      <c r="D40" s="48"/>
      <c r="E40" s="48"/>
      <c r="F40" s="48"/>
      <c r="G40" s="48"/>
      <c r="H40" s="48"/>
      <c r="I40" s="48"/>
      <c r="J40" s="48"/>
      <c r="K40" s="6" t="s">
        <v>70</v>
      </c>
      <c r="L40" s="6" t="s">
        <v>72</v>
      </c>
      <c r="M40" s="12"/>
      <c r="N40" s="12"/>
      <c r="O40" s="12"/>
      <c r="P40" s="12"/>
      <c r="Q40" s="12"/>
      <c r="R40" s="12"/>
    </row>
    <row r="41" spans="1:18">
      <c r="A41" s="47" t="s">
        <v>39</v>
      </c>
      <c r="B41" s="49">
        <v>120.67</v>
      </c>
      <c r="C41" s="48"/>
      <c r="D41" s="48"/>
      <c r="E41" s="48"/>
      <c r="F41" s="48"/>
      <c r="G41" s="48"/>
      <c r="H41" s="48"/>
      <c r="I41" s="48"/>
      <c r="J41" s="48"/>
      <c r="K41" s="6" t="s">
        <v>70</v>
      </c>
      <c r="L41" s="6" t="s">
        <v>73</v>
      </c>
      <c r="M41" s="12"/>
      <c r="N41" s="12"/>
      <c r="O41" s="12"/>
      <c r="P41" s="12"/>
      <c r="Q41" s="12"/>
      <c r="R41" s="12"/>
    </row>
    <row r="42" spans="1:18">
      <c r="A42" s="47" t="s">
        <v>40</v>
      </c>
      <c r="B42" s="49">
        <v>117.61</v>
      </c>
      <c r="C42" s="48"/>
      <c r="D42" s="48"/>
      <c r="E42" s="48"/>
      <c r="F42" s="48"/>
      <c r="G42" s="48"/>
      <c r="H42" s="48"/>
      <c r="I42" s="48"/>
      <c r="J42" s="48"/>
      <c r="K42" s="6" t="s">
        <v>70</v>
      </c>
      <c r="L42" s="6" t="s">
        <v>42</v>
      </c>
      <c r="M42" s="12"/>
      <c r="N42" s="12"/>
      <c r="O42" s="12"/>
      <c r="P42" s="12"/>
      <c r="Q42" s="12"/>
      <c r="R42" s="12"/>
    </row>
    <row r="43" spans="1:18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6" t="s">
        <v>70</v>
      </c>
      <c r="L43" s="6" t="s">
        <v>74</v>
      </c>
      <c r="M43" s="12"/>
      <c r="N43" s="12"/>
      <c r="O43" s="12"/>
      <c r="P43" s="12"/>
      <c r="Q43" s="12"/>
      <c r="R43" s="12"/>
    </row>
    <row r="44" spans="1:18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6" t="s">
        <v>70</v>
      </c>
      <c r="L44" s="6" t="s">
        <v>75</v>
      </c>
      <c r="M44" s="12"/>
      <c r="N44" s="12"/>
      <c r="O44" s="12"/>
      <c r="P44" s="12"/>
      <c r="Q44" s="12"/>
      <c r="R44" s="12"/>
    </row>
    <row r="45" spans="1:18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6" t="s">
        <v>70</v>
      </c>
      <c r="L45" s="6" t="s">
        <v>41</v>
      </c>
      <c r="M45" s="12"/>
      <c r="N45" s="12"/>
      <c r="O45" s="12"/>
      <c r="P45" s="12"/>
      <c r="Q45" s="12"/>
      <c r="R45" s="12"/>
    </row>
    <row r="46" spans="1:18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6" t="s">
        <v>70</v>
      </c>
      <c r="L46" s="6" t="s">
        <v>76</v>
      </c>
      <c r="M46" s="12"/>
      <c r="N46" s="12"/>
      <c r="O46" s="12"/>
      <c r="P46" s="12"/>
      <c r="Q46" s="12"/>
      <c r="R46" s="12"/>
    </row>
    <row r="47" spans="1:18" ht="30.75" customHeight="1">
      <c r="A47" s="40" t="s">
        <v>85</v>
      </c>
      <c r="B47" s="41"/>
      <c r="C47" s="42"/>
      <c r="D47" s="42"/>
      <c r="E47" s="42"/>
      <c r="F47" s="42"/>
      <c r="G47" s="42"/>
      <c r="H47" s="42"/>
      <c r="I47" s="42"/>
      <c r="J47" s="42"/>
      <c r="K47" s="6" t="s">
        <v>70</v>
      </c>
      <c r="L47" s="6" t="s">
        <v>77</v>
      </c>
      <c r="M47" s="12"/>
      <c r="N47" s="12"/>
      <c r="O47" s="12"/>
      <c r="P47" s="12"/>
      <c r="Q47" s="12"/>
      <c r="R47" s="12"/>
    </row>
    <row r="48" spans="1:18">
      <c r="A48" s="45" t="s">
        <v>58</v>
      </c>
      <c r="B48" s="45" t="s">
        <v>61</v>
      </c>
      <c r="C48" s="42"/>
      <c r="D48" s="42"/>
      <c r="E48" s="42"/>
      <c r="F48" s="42"/>
      <c r="G48" s="42"/>
      <c r="H48" s="42"/>
      <c r="I48" s="42"/>
      <c r="J48" s="42"/>
      <c r="K48" s="6" t="s">
        <v>70</v>
      </c>
      <c r="L48" s="6" t="s">
        <v>51</v>
      </c>
      <c r="M48" s="12"/>
      <c r="N48" s="12"/>
      <c r="O48" s="12"/>
      <c r="P48" s="12"/>
      <c r="Q48" s="12"/>
      <c r="R48" s="12"/>
    </row>
    <row r="49" spans="1:18">
      <c r="A49" s="43" t="s">
        <v>86</v>
      </c>
      <c r="B49" s="44">
        <v>6.2300000000000001E-2</v>
      </c>
      <c r="C49" s="42"/>
      <c r="D49" s="42"/>
      <c r="E49" s="42"/>
      <c r="F49" s="42"/>
      <c r="G49" s="42"/>
      <c r="H49" s="42"/>
      <c r="I49" s="42"/>
      <c r="J49" s="42"/>
      <c r="K49" s="6" t="s">
        <v>70</v>
      </c>
      <c r="L49" s="6" t="s">
        <v>78</v>
      </c>
      <c r="M49" s="12"/>
      <c r="N49" s="12"/>
      <c r="O49" s="12"/>
      <c r="P49" s="12"/>
      <c r="Q49" s="12"/>
      <c r="R49" s="12"/>
    </row>
    <row r="50" spans="1:18">
      <c r="A50" s="43" t="s">
        <v>87</v>
      </c>
      <c r="B50" s="44">
        <v>7.9000000000000001E-2</v>
      </c>
      <c r="C50" s="42"/>
      <c r="D50" s="42"/>
      <c r="E50" s="42"/>
      <c r="F50" s="42"/>
      <c r="G50" s="42"/>
      <c r="H50" s="42"/>
      <c r="I50" s="42"/>
      <c r="J50" s="42"/>
      <c r="K50" s="6" t="s">
        <v>70</v>
      </c>
      <c r="L50" s="6" t="s">
        <v>43</v>
      </c>
      <c r="M50" s="12"/>
      <c r="N50" s="12"/>
      <c r="O50" s="12"/>
      <c r="P50" s="12"/>
      <c r="Q50" s="12"/>
      <c r="R50" s="12"/>
    </row>
    <row r="51" spans="1:18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6" t="s">
        <v>71</v>
      </c>
      <c r="L51" s="6" t="s">
        <v>50</v>
      </c>
      <c r="M51" s="12"/>
      <c r="N51" s="12"/>
      <c r="O51" s="12"/>
      <c r="P51" s="12"/>
      <c r="Q51" s="12"/>
      <c r="R51" s="12"/>
    </row>
    <row r="52" spans="1:18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12"/>
      <c r="L52" s="12"/>
      <c r="M52" s="12"/>
      <c r="N52" s="12"/>
      <c r="O52" s="12"/>
      <c r="P52" s="12"/>
      <c r="Q52" s="12"/>
      <c r="R52" s="12"/>
    </row>
    <row r="53" spans="1:18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12"/>
      <c r="L53" s="12"/>
      <c r="M53" s="12"/>
      <c r="N53" s="12"/>
      <c r="O53" s="12"/>
      <c r="P53" s="12"/>
      <c r="Q53" s="12"/>
      <c r="R53" s="12"/>
    </row>
    <row r="54" spans="1:18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12"/>
      <c r="L54" s="12"/>
      <c r="M54" s="12"/>
      <c r="N54" s="12"/>
      <c r="O54" s="12"/>
      <c r="P54" s="12"/>
      <c r="Q54" s="12"/>
      <c r="R54" s="12"/>
    </row>
    <row r="55" spans="1:18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12"/>
      <c r="L55" s="12"/>
      <c r="M55" s="12"/>
      <c r="N55" s="12"/>
      <c r="O55" s="12"/>
      <c r="P55" s="12"/>
      <c r="Q55" s="12"/>
      <c r="R55" s="12"/>
    </row>
    <row r="56" spans="1:18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12"/>
      <c r="L56" s="12"/>
      <c r="M56" s="12"/>
      <c r="N56" s="12"/>
      <c r="O56" s="12"/>
      <c r="P56" s="12"/>
      <c r="Q56" s="12"/>
      <c r="R56" s="12"/>
    </row>
    <row r="57" spans="1:18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12"/>
      <c r="L57" s="12"/>
      <c r="M57" s="12"/>
      <c r="N57" s="12"/>
      <c r="O57" s="12"/>
      <c r="P57" s="12"/>
      <c r="Q57" s="12"/>
      <c r="R57" s="12"/>
    </row>
    <row r="58" spans="1:1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12"/>
      <c r="L58" s="12"/>
      <c r="M58" s="12"/>
      <c r="N58" s="12"/>
      <c r="O58" s="12"/>
      <c r="P58" s="12"/>
      <c r="Q58" s="12"/>
      <c r="R58" s="12"/>
    </row>
    <row r="59" spans="1:18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12"/>
      <c r="L59" s="12"/>
      <c r="M59" s="12"/>
      <c r="N59" s="12"/>
      <c r="O59" s="12"/>
      <c r="P59" s="12"/>
      <c r="Q59" s="12"/>
      <c r="R59" s="12"/>
    </row>
    <row r="60" spans="1:18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12"/>
      <c r="L60" s="12"/>
      <c r="M60" s="12"/>
      <c r="N60" s="12"/>
      <c r="O60" s="12"/>
      <c r="P60" s="12"/>
      <c r="Q60" s="12"/>
      <c r="R60" s="12"/>
    </row>
    <row r="129" spans="1:1">
      <c r="A129" t="s">
        <v>46</v>
      </c>
    </row>
    <row r="130" spans="1:1">
      <c r="A130" t="s">
        <v>46</v>
      </c>
    </row>
    <row r="131" spans="1:1">
      <c r="A131" t="s">
        <v>46</v>
      </c>
    </row>
    <row r="132" spans="1:1">
      <c r="A132" t="s">
        <v>46</v>
      </c>
    </row>
    <row r="133" spans="1:1">
      <c r="A133" t="s">
        <v>46</v>
      </c>
    </row>
    <row r="134" spans="1:1">
      <c r="A134" t="s">
        <v>46</v>
      </c>
    </row>
    <row r="135" spans="1:1">
      <c r="A135" t="s">
        <v>46</v>
      </c>
    </row>
    <row r="136" spans="1:1">
      <c r="A136" t="s">
        <v>46</v>
      </c>
    </row>
    <row r="137" spans="1:1">
      <c r="A137" t="s">
        <v>46</v>
      </c>
    </row>
    <row r="138" spans="1:1">
      <c r="A138" t="s">
        <v>47</v>
      </c>
    </row>
    <row r="139" spans="1:1">
      <c r="A139" t="s">
        <v>47</v>
      </c>
    </row>
    <row r="140" spans="1:1">
      <c r="A140" t="s">
        <v>47</v>
      </c>
    </row>
    <row r="141" spans="1:1">
      <c r="A141" t="s">
        <v>47</v>
      </c>
    </row>
    <row r="142" spans="1:1">
      <c r="A142" t="s">
        <v>47</v>
      </c>
    </row>
    <row r="143" spans="1:1">
      <c r="A143" t="s">
        <v>47</v>
      </c>
    </row>
    <row r="144" spans="1:1">
      <c r="A144" t="s">
        <v>47</v>
      </c>
    </row>
    <row r="145" spans="1:1">
      <c r="A145" t="s">
        <v>47</v>
      </c>
    </row>
    <row r="146" spans="1:1">
      <c r="A146" t="s">
        <v>47</v>
      </c>
    </row>
    <row r="147" spans="1:1">
      <c r="A147" t="s">
        <v>47</v>
      </c>
    </row>
    <row r="148" spans="1:1">
      <c r="A148" t="s">
        <v>47</v>
      </c>
    </row>
    <row r="149" spans="1:1">
      <c r="A149" t="s">
        <v>47</v>
      </c>
    </row>
    <row r="150" spans="1:1">
      <c r="A150" t="s">
        <v>48</v>
      </c>
    </row>
    <row r="151" spans="1:1">
      <c r="A151" t="s">
        <v>48</v>
      </c>
    </row>
    <row r="152" spans="1:1">
      <c r="A152" t="s">
        <v>48</v>
      </c>
    </row>
    <row r="153" spans="1:1">
      <c r="A153" t="s">
        <v>48</v>
      </c>
    </row>
    <row r="154" spans="1:1">
      <c r="A154" t="s">
        <v>48</v>
      </c>
    </row>
    <row r="155" spans="1:1">
      <c r="A155" t="s">
        <v>48</v>
      </c>
    </row>
    <row r="156" spans="1:1">
      <c r="A156" t="s">
        <v>48</v>
      </c>
    </row>
    <row r="157" spans="1:1">
      <c r="A157" t="s">
        <v>48</v>
      </c>
    </row>
    <row r="158" spans="1:1">
      <c r="A158" t="s">
        <v>48</v>
      </c>
    </row>
    <row r="159" spans="1:1">
      <c r="A159" t="s">
        <v>48</v>
      </c>
    </row>
    <row r="160" spans="1:1">
      <c r="A160" t="s">
        <v>48</v>
      </c>
    </row>
    <row r="161" spans="1:1">
      <c r="A161" t="s">
        <v>48</v>
      </c>
    </row>
    <row r="162" spans="1:1">
      <c r="A162" t="s">
        <v>49</v>
      </c>
    </row>
    <row r="163" spans="1:1">
      <c r="A163" t="s">
        <v>49</v>
      </c>
    </row>
    <row r="164" spans="1:1">
      <c r="A164" t="s">
        <v>49</v>
      </c>
    </row>
    <row r="165" spans="1:1">
      <c r="A165" t="s">
        <v>49</v>
      </c>
    </row>
    <row r="166" spans="1:1">
      <c r="A166" t="s">
        <v>49</v>
      </c>
    </row>
    <row r="167" spans="1:1">
      <c r="A167" t="s">
        <v>49</v>
      </c>
    </row>
    <row r="168" spans="1:1">
      <c r="A168" t="s">
        <v>49</v>
      </c>
    </row>
    <row r="169" spans="1:1">
      <c r="A169" t="s">
        <v>49</v>
      </c>
    </row>
    <row r="170" spans="1:1">
      <c r="A170" t="s">
        <v>49</v>
      </c>
    </row>
    <row r="171" spans="1:1">
      <c r="A171" t="s">
        <v>49</v>
      </c>
    </row>
    <row r="172" spans="1:1">
      <c r="A172" t="s">
        <v>49</v>
      </c>
    </row>
    <row r="173" spans="1:1">
      <c r="A173" t="s">
        <v>49</v>
      </c>
    </row>
    <row r="174" spans="1:1">
      <c r="A174" t="s">
        <v>50</v>
      </c>
    </row>
    <row r="175" spans="1:1">
      <c r="A175" t="s">
        <v>50</v>
      </c>
    </row>
    <row r="176" spans="1:1">
      <c r="A176" t="s">
        <v>50</v>
      </c>
    </row>
    <row r="177" spans="1:1">
      <c r="A177" t="s">
        <v>50</v>
      </c>
    </row>
    <row r="178" spans="1:1">
      <c r="A178" t="s">
        <v>50</v>
      </c>
    </row>
    <row r="179" spans="1:1">
      <c r="A179" t="s">
        <v>50</v>
      </c>
    </row>
    <row r="180" spans="1:1">
      <c r="A180" t="s">
        <v>50</v>
      </c>
    </row>
    <row r="181" spans="1:1">
      <c r="A181" t="s">
        <v>50</v>
      </c>
    </row>
    <row r="182" spans="1:1">
      <c r="A182" t="s">
        <v>50</v>
      </c>
    </row>
    <row r="183" spans="1:1">
      <c r="A183" t="s">
        <v>50</v>
      </c>
    </row>
    <row r="184" spans="1:1">
      <c r="A184" t="s">
        <v>50</v>
      </c>
    </row>
    <row r="185" spans="1:1">
      <c r="A185" t="s">
        <v>39</v>
      </c>
    </row>
    <row r="186" spans="1:1">
      <c r="A186" t="s">
        <v>51</v>
      </c>
    </row>
    <row r="187" spans="1:1">
      <c r="A187" t="s">
        <v>51</v>
      </c>
    </row>
    <row r="188" spans="1:1">
      <c r="A188" t="s">
        <v>51</v>
      </c>
    </row>
    <row r="189" spans="1:1">
      <c r="A189" t="s">
        <v>51</v>
      </c>
    </row>
    <row r="190" spans="1:1">
      <c r="A190" t="s">
        <v>51</v>
      </c>
    </row>
    <row r="191" spans="1:1">
      <c r="A191" t="s">
        <v>51</v>
      </c>
    </row>
    <row r="192" spans="1:1">
      <c r="A192" t="s">
        <v>51</v>
      </c>
    </row>
    <row r="193" spans="1:1">
      <c r="A193" t="s">
        <v>51</v>
      </c>
    </row>
    <row r="194" spans="1:1">
      <c r="A194" t="s">
        <v>51</v>
      </c>
    </row>
    <row r="195" spans="1:1">
      <c r="A195" t="s">
        <v>51</v>
      </c>
    </row>
    <row r="196" spans="1:1">
      <c r="A196" t="s">
        <v>51</v>
      </c>
    </row>
    <row r="197" spans="1:1">
      <c r="A197" t="s">
        <v>40</v>
      </c>
    </row>
  </sheetData>
  <mergeCells count="3">
    <mergeCell ref="K2:L2"/>
    <mergeCell ref="A1:O1"/>
    <mergeCell ref="A47:B47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opLeftCell="A17" workbookViewId="0">
      <selection activeCell="E25" sqref="E25:E29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086A01-8710-405E-8F2C-A803F1C327D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Chart_Data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2026-09-15T01:21:31Z</cp:lastPrinted>
  <dcterms:created xsi:type="dcterms:W3CDTF">2026-09-14T16:55:30Z</dcterms:created>
  <dcterms:modified xsi:type="dcterms:W3CDTF">2026-09-15T13:33:45Z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{77086A01-8710-405E-8F2C-A803F1C327DC}</vt:lpwstr>
  </property>
</Properties>
</file>